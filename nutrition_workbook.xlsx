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Profile" sheetId="1" state="visible" r:id="rId1"/>
    <sheet xmlns:r="http://schemas.openxmlformats.org/officeDocument/2006/relationships" name="DRI Values" sheetId="2" state="visible" r:id="rId2"/>
    <sheet xmlns:r="http://schemas.openxmlformats.org/officeDocument/2006/relationships" name="Food Catalogue" sheetId="3" state="visible" r:id="rId3"/>
    <sheet xmlns:r="http://schemas.openxmlformats.org/officeDocument/2006/relationships"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My Profile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Age (years)</t>
        </is>
      </c>
      <c r="B4" s="3" t="n">
        <v>30</v>
      </c>
    </row>
    <row r="5">
      <c r="A5" t="inlineStr">
        <is>
          <t>Sex / life stage</t>
        </is>
      </c>
      <c r="B5" s="3" t="inlineStr">
        <is>
          <t>male</t>
        </is>
      </c>
    </row>
    <row r="6">
      <c r="A6" t="inlineStr">
        <is>
          <t>Weight (kg)</t>
        </is>
      </c>
      <c r="B6" s="3" t="n">
        <v>70</v>
      </c>
    </row>
    <row r="7">
      <c r="A7" t="inlineStr">
        <is>
          <t>Height (cm)</t>
        </is>
      </c>
      <c r="B7" s="3" t="n">
        <v>175</v>
      </c>
    </row>
    <row r="8">
      <c r="A8" t="inlineStr">
        <is>
          <t>Activity level</t>
        </is>
      </c>
      <c r="B8" s="3" t="inlineStr">
        <is>
          <t>moderate</t>
        </is>
      </c>
    </row>
    <row r="10">
      <c r="A10" t="inlineStr">
        <is>
          <t>Matched life stage:</t>
        </is>
      </c>
      <c r="B10">
        <f>IFERROR(INDEX('DRI Values'!A2:A23, MATCH(1, ('DRI Values'!$B$2:$B$23=$B$5)*('DRI Values'!$C$2:$C$23&lt;=$B$4)*('DRI Values'!$D$2:$D$23&gt;=$B$4), 0)), "no match")</f>
        <v/>
      </c>
    </row>
  </sheetData>
  <dataValidations count="2">
    <dataValidation sqref="B5" showDropDown="0" showInputMessage="0" showErrorMessage="0" allowBlank="0" type="list">
      <formula1>"male,female,pregnant,lactating"</formula1>
    </dataValidation>
    <dataValidation sqref="B8" showDropDown="0" showInputMessage="0" showErrorMessage="0" allowBlank="0" type="list">
      <formula1>"sedentary,light,moderate,active,very_active"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life_stage_id</t>
        </is>
      </c>
      <c r="B1" s="2" t="inlineStr">
        <is>
          <t>sex</t>
        </is>
      </c>
      <c r="C1" s="2" t="inlineStr">
        <is>
          <t>age_min</t>
        </is>
      </c>
      <c r="D1" s="2" t="inlineStr">
        <is>
          <t>age_max</t>
        </is>
      </c>
      <c r="E1" s="2" t="inlineStr">
        <is>
          <t>label</t>
        </is>
      </c>
      <c r="F1" s="2" t="inlineStr">
        <is>
          <t>Protein (g/d)</t>
        </is>
      </c>
      <c r="G1" s="2" t="inlineStr">
        <is>
          <t>Carbohydrate (g/d)</t>
        </is>
      </c>
      <c r="H1" s="2" t="inlineStr">
        <is>
          <t>Total Fiber (g/d)</t>
        </is>
      </c>
      <c r="I1" s="2" t="inlineStr">
        <is>
          <t>Fat (g/d)</t>
        </is>
      </c>
      <c r="J1" s="2" t="inlineStr">
        <is>
          <t>Calcium (mg/d)</t>
        </is>
      </c>
      <c r="K1" s="2" t="inlineStr">
        <is>
          <t>Phosphorus (mg/d)</t>
        </is>
      </c>
      <c r="L1" s="2" t="inlineStr">
        <is>
          <t>Magnesium (mg/d)</t>
        </is>
      </c>
      <c r="M1" s="2" t="inlineStr">
        <is>
          <t>Potassium (mg/d)</t>
        </is>
      </c>
      <c r="N1" s="2" t="inlineStr">
        <is>
          <t>Sodium (mg/d)</t>
        </is>
      </c>
      <c r="O1" s="2" t="inlineStr">
        <is>
          <t>Iron (mg/d)</t>
        </is>
      </c>
      <c r="P1" s="2" t="inlineStr">
        <is>
          <t>Zinc (mg/d)</t>
        </is>
      </c>
      <c r="Q1" s="2" t="inlineStr">
        <is>
          <t>Selenium (ug/d)</t>
        </is>
      </c>
      <c r="R1" s="2" t="inlineStr">
        <is>
          <t>Copper (ug/d)</t>
        </is>
      </c>
      <c r="S1" s="2" t="inlineStr">
        <is>
          <t>Manganese (mg/d)</t>
        </is>
      </c>
      <c r="T1" s="2" t="inlineStr">
        <is>
          <t>Iodine (ug/d)</t>
        </is>
      </c>
      <c r="U1" s="2" t="inlineStr">
        <is>
          <t>Vitamin A (RAE) (ug/d)</t>
        </is>
      </c>
      <c r="V1" s="2" t="inlineStr">
        <is>
          <t>Vitamin D (ug/d)</t>
        </is>
      </c>
      <c r="W1" s="2" t="inlineStr">
        <is>
          <t>Vitamin E (alpha-tocopherol) (mg/d)</t>
        </is>
      </c>
      <c r="X1" s="2" t="inlineStr">
        <is>
          <t>Vitamin K (ug/d)</t>
        </is>
      </c>
      <c r="Y1" s="2" t="inlineStr">
        <is>
          <t>Vitamin C (mg/d)</t>
        </is>
      </c>
      <c r="Z1" s="2" t="inlineStr">
        <is>
          <t>Thiamin (mg/d)</t>
        </is>
      </c>
      <c r="AA1" s="2" t="inlineStr">
        <is>
          <t>Riboflavin (mg/d)</t>
        </is>
      </c>
      <c r="AB1" s="2" t="inlineStr">
        <is>
          <t>Niacin (mg/d)</t>
        </is>
      </c>
      <c r="AC1" s="2" t="inlineStr">
        <is>
          <t>Vitamin B6 (mg/d)</t>
        </is>
      </c>
      <c r="AD1" s="2" t="inlineStr">
        <is>
          <t>Folate (DFE) (ug/d)</t>
        </is>
      </c>
      <c r="AE1" s="2" t="inlineStr">
        <is>
          <t>Vitamin B12 (ug/d)</t>
        </is>
      </c>
      <c r="AF1" s="2" t="inlineStr">
        <is>
          <t>Pantothenic Acid (mg/d)</t>
        </is>
      </c>
      <c r="AG1" s="2" t="inlineStr">
        <is>
          <t>Biotin (ug/d)</t>
        </is>
      </c>
      <c r="AH1" s="2" t="inlineStr">
        <is>
          <t>Choline (mg/d)</t>
        </is>
      </c>
    </row>
    <row r="2">
      <c r="A2" t="inlineStr">
        <is>
          <t>infant_0_6mo</t>
        </is>
      </c>
      <c r="B2" t="inlineStr">
        <is>
          <t>infant</t>
        </is>
      </c>
      <c r="C2" t="n">
        <v>0</v>
      </c>
      <c r="D2" t="n">
        <v>0.5</v>
      </c>
      <c r="E2" t="inlineStr">
        <is>
          <t>Infant, 0-6mo</t>
        </is>
      </c>
      <c r="F2" t="n">
        <v>9.1</v>
      </c>
      <c r="G2" t="n">
        <v>60</v>
      </c>
      <c r="H2" t="inlineStr">
        <is>
          <t>n/a</t>
        </is>
      </c>
      <c r="I2" t="n">
        <v>31</v>
      </c>
      <c r="J2" t="n">
        <v>200</v>
      </c>
      <c r="K2" t="n">
        <v>100</v>
      </c>
      <c r="L2" t="n">
        <v>30</v>
      </c>
      <c r="M2" t="n">
        <v>400</v>
      </c>
      <c r="N2" t="n">
        <v>110</v>
      </c>
      <c r="O2" t="n">
        <v>0.27</v>
      </c>
      <c r="P2" t="n">
        <v>2</v>
      </c>
      <c r="Q2" t="n">
        <v>15</v>
      </c>
      <c r="R2" t="n">
        <v>200</v>
      </c>
      <c r="S2" t="n">
        <v>0.003</v>
      </c>
      <c r="T2" t="n">
        <v>110</v>
      </c>
      <c r="U2" t="n">
        <v>400</v>
      </c>
      <c r="V2" t="n">
        <v>10</v>
      </c>
      <c r="W2" t="n">
        <v>4</v>
      </c>
      <c r="X2" t="n">
        <v>2</v>
      </c>
      <c r="Y2" t="n">
        <v>40</v>
      </c>
      <c r="Z2" t="n">
        <v>0.2</v>
      </c>
      <c r="AA2" t="n">
        <v>0.3</v>
      </c>
      <c r="AB2" t="n">
        <v>2</v>
      </c>
      <c r="AC2" t="n">
        <v>0.1</v>
      </c>
      <c r="AD2" t="n">
        <v>65</v>
      </c>
      <c r="AE2" t="n">
        <v>0.4</v>
      </c>
      <c r="AF2" t="n">
        <v>1.7</v>
      </c>
      <c r="AG2" t="n">
        <v>5</v>
      </c>
      <c r="AH2" t="n">
        <v>125</v>
      </c>
    </row>
    <row r="3">
      <c r="A3" t="inlineStr">
        <is>
          <t>infant_7_12mo</t>
        </is>
      </c>
      <c r="B3" t="inlineStr">
        <is>
          <t>infant</t>
        </is>
      </c>
      <c r="C3" t="n">
        <v>0.583</v>
      </c>
      <c r="D3" t="n">
        <v>1</v>
      </c>
      <c r="E3" t="inlineStr">
        <is>
          <t>Infant, 7-12mo</t>
        </is>
      </c>
      <c r="F3" t="n">
        <v>11</v>
      </c>
      <c r="G3" t="n">
        <v>95</v>
      </c>
      <c r="H3" t="inlineStr">
        <is>
          <t>n/a</t>
        </is>
      </c>
      <c r="I3" t="n">
        <v>30</v>
      </c>
      <c r="J3" t="n">
        <v>260</v>
      </c>
      <c r="K3" t="n">
        <v>275</v>
      </c>
      <c r="L3" t="n">
        <v>75</v>
      </c>
      <c r="M3" t="n">
        <v>860</v>
      </c>
      <c r="N3" t="n">
        <v>370</v>
      </c>
      <c r="O3" t="n">
        <v>11</v>
      </c>
      <c r="P3" t="n">
        <v>3</v>
      </c>
      <c r="Q3" t="n">
        <v>20</v>
      </c>
      <c r="R3" t="n">
        <v>220</v>
      </c>
      <c r="S3" t="n">
        <v>0.6</v>
      </c>
      <c r="T3" t="n">
        <v>130</v>
      </c>
      <c r="U3" t="n">
        <v>500</v>
      </c>
      <c r="V3" t="n">
        <v>10</v>
      </c>
      <c r="W3" t="n">
        <v>5</v>
      </c>
      <c r="X3" t="n">
        <v>2.5</v>
      </c>
      <c r="Y3" t="n">
        <v>50</v>
      </c>
      <c r="Z3" t="n">
        <v>0.3</v>
      </c>
      <c r="AA3" t="n">
        <v>0.4</v>
      </c>
      <c r="AB3" t="n">
        <v>4</v>
      </c>
      <c r="AC3" t="n">
        <v>0.3</v>
      </c>
      <c r="AD3" t="n">
        <v>80</v>
      </c>
      <c r="AE3" t="n">
        <v>0.5</v>
      </c>
      <c r="AF3" t="n">
        <v>1.8</v>
      </c>
      <c r="AG3" t="n">
        <v>6</v>
      </c>
      <c r="AH3" t="n">
        <v>150</v>
      </c>
    </row>
    <row r="4">
      <c r="A4" t="inlineStr">
        <is>
          <t>child_1_3</t>
        </is>
      </c>
      <c r="B4" t="inlineStr">
        <is>
          <t>child</t>
        </is>
      </c>
      <c r="C4" t="n">
        <v>1</v>
      </c>
      <c r="D4" t="n">
        <v>3</v>
      </c>
      <c r="E4" t="inlineStr">
        <is>
          <t>Child, 1-3y</t>
        </is>
      </c>
      <c r="F4" t="n">
        <v>13</v>
      </c>
      <c r="G4" t="n">
        <v>130</v>
      </c>
      <c r="H4" t="n">
        <v>19</v>
      </c>
      <c r="I4" t="inlineStr">
        <is>
          <t>n/a</t>
        </is>
      </c>
      <c r="J4" t="n">
        <v>700</v>
      </c>
      <c r="K4" t="n">
        <v>460</v>
      </c>
      <c r="L4" t="n">
        <v>80</v>
      </c>
      <c r="M4" t="n">
        <v>2000</v>
      </c>
      <c r="N4" t="n">
        <v>800</v>
      </c>
      <c r="O4" t="n">
        <v>7</v>
      </c>
      <c r="P4" t="n">
        <v>3</v>
      </c>
      <c r="Q4" t="n">
        <v>20</v>
      </c>
      <c r="R4" t="n">
        <v>340</v>
      </c>
      <c r="S4" t="n">
        <v>1.2</v>
      </c>
      <c r="T4" t="n">
        <v>90</v>
      </c>
      <c r="U4" t="n">
        <v>300</v>
      </c>
      <c r="V4" t="n">
        <v>15</v>
      </c>
      <c r="W4" t="n">
        <v>6</v>
      </c>
      <c r="X4" t="n">
        <v>30</v>
      </c>
      <c r="Y4" t="n">
        <v>15</v>
      </c>
      <c r="Z4" t="n">
        <v>0.5</v>
      </c>
      <c r="AA4" t="n">
        <v>0.5</v>
      </c>
      <c r="AB4" t="n">
        <v>6</v>
      </c>
      <c r="AC4" t="n">
        <v>0.5</v>
      </c>
      <c r="AD4" t="n">
        <v>150</v>
      </c>
      <c r="AE4" t="n">
        <v>0.9</v>
      </c>
      <c r="AF4" t="n">
        <v>2</v>
      </c>
      <c r="AG4" t="n">
        <v>8</v>
      </c>
      <c r="AH4" t="n">
        <v>200</v>
      </c>
    </row>
    <row r="5">
      <c r="A5" t="inlineStr">
        <is>
          <t>child_4_8</t>
        </is>
      </c>
      <c r="B5" t="inlineStr">
        <is>
          <t>child</t>
        </is>
      </c>
      <c r="C5" t="n">
        <v>4</v>
      </c>
      <c r="D5" t="n">
        <v>8</v>
      </c>
      <c r="E5" t="inlineStr">
        <is>
          <t>Child, 4-8y</t>
        </is>
      </c>
      <c r="F5" t="n">
        <v>19</v>
      </c>
      <c r="G5" t="n">
        <v>130</v>
      </c>
      <c r="H5" t="n">
        <v>25</v>
      </c>
      <c r="I5" t="inlineStr">
        <is>
          <t>n/a</t>
        </is>
      </c>
      <c r="J5" t="n">
        <v>1000</v>
      </c>
      <c r="K5" t="n">
        <v>500</v>
      </c>
      <c r="L5" t="n">
        <v>130</v>
      </c>
      <c r="M5" t="n">
        <v>2300</v>
      </c>
      <c r="N5" t="n">
        <v>1000</v>
      </c>
      <c r="O5" t="n">
        <v>10</v>
      </c>
      <c r="P5" t="n">
        <v>5</v>
      </c>
      <c r="Q5" t="n">
        <v>30</v>
      </c>
      <c r="R5" t="n">
        <v>440</v>
      </c>
      <c r="S5" t="n">
        <v>1.5</v>
      </c>
      <c r="T5" t="n">
        <v>90</v>
      </c>
      <c r="U5" t="n">
        <v>400</v>
      </c>
      <c r="V5" t="n">
        <v>15</v>
      </c>
      <c r="W5" t="n">
        <v>7</v>
      </c>
      <c r="X5" t="n">
        <v>55</v>
      </c>
      <c r="Y5" t="n">
        <v>25</v>
      </c>
      <c r="Z5" t="n">
        <v>0.6</v>
      </c>
      <c r="AA5" t="n">
        <v>0.6</v>
      </c>
      <c r="AB5" t="n">
        <v>8</v>
      </c>
      <c r="AC5" t="n">
        <v>0.6</v>
      </c>
      <c r="AD5" t="n">
        <v>200</v>
      </c>
      <c r="AE5" t="n">
        <v>1.2</v>
      </c>
      <c r="AF5" t="n">
        <v>3</v>
      </c>
      <c r="AG5" t="n">
        <v>12</v>
      </c>
      <c r="AH5" t="n">
        <v>250</v>
      </c>
    </row>
    <row r="6">
      <c r="A6" t="inlineStr">
        <is>
          <t>male_9_13</t>
        </is>
      </c>
      <c r="B6" t="inlineStr">
        <is>
          <t>male</t>
        </is>
      </c>
      <c r="C6" t="n">
        <v>9</v>
      </c>
      <c r="D6" t="n">
        <v>13</v>
      </c>
      <c r="E6" t="inlineStr">
        <is>
          <t>Male, 9-13y</t>
        </is>
      </c>
      <c r="F6" t="n">
        <v>34</v>
      </c>
      <c r="G6" t="n">
        <v>130</v>
      </c>
      <c r="H6" t="n">
        <v>31</v>
      </c>
      <c r="I6" t="inlineStr">
        <is>
          <t>n/a</t>
        </is>
      </c>
      <c r="J6" t="n">
        <v>1300</v>
      </c>
      <c r="K6" t="n">
        <v>1250</v>
      </c>
      <c r="L6" t="n">
        <v>240</v>
      </c>
      <c r="M6" t="n">
        <v>2500</v>
      </c>
      <c r="N6" t="n">
        <v>1200</v>
      </c>
      <c r="O6" t="n">
        <v>8</v>
      </c>
      <c r="P6" t="n">
        <v>8</v>
      </c>
      <c r="Q6" t="n">
        <v>40</v>
      </c>
      <c r="R6" t="n">
        <v>700</v>
      </c>
      <c r="S6" t="n">
        <v>1.9</v>
      </c>
      <c r="T6" t="n">
        <v>120</v>
      </c>
      <c r="U6" t="n">
        <v>600</v>
      </c>
      <c r="V6" t="n">
        <v>15</v>
      </c>
      <c r="W6" t="n">
        <v>11</v>
      </c>
      <c r="X6" t="n">
        <v>60</v>
      </c>
      <c r="Y6" t="n">
        <v>45</v>
      </c>
      <c r="Z6" t="n">
        <v>0.9</v>
      </c>
      <c r="AA6" t="n">
        <v>0.9</v>
      </c>
      <c r="AB6" t="n">
        <v>12</v>
      </c>
      <c r="AC6" t="n">
        <v>1</v>
      </c>
      <c r="AD6" t="n">
        <v>300</v>
      </c>
      <c r="AE6" t="n">
        <v>1.8</v>
      </c>
      <c r="AF6" t="n">
        <v>4</v>
      </c>
      <c r="AG6" t="n">
        <v>20</v>
      </c>
      <c r="AH6" t="n">
        <v>375</v>
      </c>
    </row>
    <row r="7">
      <c r="A7" t="inlineStr">
        <is>
          <t>male_14_18</t>
        </is>
      </c>
      <c r="B7" t="inlineStr">
        <is>
          <t>male</t>
        </is>
      </c>
      <c r="C7" t="n">
        <v>14</v>
      </c>
      <c r="D7" t="n">
        <v>18</v>
      </c>
      <c r="E7" t="inlineStr">
        <is>
          <t>Male, 14-18y</t>
        </is>
      </c>
      <c r="F7" t="n">
        <v>52</v>
      </c>
      <c r="G7" t="n">
        <v>130</v>
      </c>
      <c r="H7" t="n">
        <v>38</v>
      </c>
      <c r="I7" t="inlineStr">
        <is>
          <t>n/a</t>
        </is>
      </c>
      <c r="J7" t="n">
        <v>1300</v>
      </c>
      <c r="K7" t="n">
        <v>1250</v>
      </c>
      <c r="L7" t="n">
        <v>410</v>
      </c>
      <c r="M7" t="n">
        <v>3000</v>
      </c>
      <c r="N7" t="n">
        <v>1500</v>
      </c>
      <c r="O7" t="n">
        <v>11</v>
      </c>
      <c r="P7" t="n">
        <v>11</v>
      </c>
      <c r="Q7" t="n">
        <v>55</v>
      </c>
      <c r="R7" t="n">
        <v>890</v>
      </c>
      <c r="S7" t="n">
        <v>2.2</v>
      </c>
      <c r="T7" t="n">
        <v>150</v>
      </c>
      <c r="U7" t="n">
        <v>900</v>
      </c>
      <c r="V7" t="n">
        <v>15</v>
      </c>
      <c r="W7" t="n">
        <v>15</v>
      </c>
      <c r="X7" t="n">
        <v>75</v>
      </c>
      <c r="Y7" t="n">
        <v>75</v>
      </c>
      <c r="Z7" t="n">
        <v>1.2</v>
      </c>
      <c r="AA7" t="n">
        <v>1.3</v>
      </c>
      <c r="AB7" t="n">
        <v>16</v>
      </c>
      <c r="AC7" t="n">
        <v>1.3</v>
      </c>
      <c r="AD7" t="n">
        <v>400</v>
      </c>
      <c r="AE7" t="n">
        <v>2.4</v>
      </c>
      <c r="AF7" t="n">
        <v>5</v>
      </c>
      <c r="AG7" t="n">
        <v>25</v>
      </c>
      <c r="AH7" t="n">
        <v>550</v>
      </c>
    </row>
    <row r="8">
      <c r="A8" t="inlineStr">
        <is>
          <t>male_19_30</t>
        </is>
      </c>
      <c r="B8" t="inlineStr">
        <is>
          <t>male</t>
        </is>
      </c>
      <c r="C8" t="n">
        <v>19</v>
      </c>
      <c r="D8" t="n">
        <v>30</v>
      </c>
      <c r="E8" t="inlineStr">
        <is>
          <t>Male, 19-30y</t>
        </is>
      </c>
      <c r="F8" t="n">
        <v>56</v>
      </c>
      <c r="G8" t="n">
        <v>130</v>
      </c>
      <c r="H8" t="n">
        <v>38</v>
      </c>
      <c r="I8" t="inlineStr">
        <is>
          <t>n/a</t>
        </is>
      </c>
      <c r="J8" t="n">
        <v>1000</v>
      </c>
      <c r="K8" t="n">
        <v>700</v>
      </c>
      <c r="L8" t="n">
        <v>400</v>
      </c>
      <c r="M8" t="n">
        <v>3400</v>
      </c>
      <c r="N8" t="n">
        <v>1500</v>
      </c>
      <c r="O8" t="n">
        <v>8</v>
      </c>
      <c r="P8" t="n">
        <v>11</v>
      </c>
      <c r="Q8" t="n">
        <v>55</v>
      </c>
      <c r="R8" t="n">
        <v>900</v>
      </c>
      <c r="S8" t="n">
        <v>2.3</v>
      </c>
      <c r="T8" t="n">
        <v>150</v>
      </c>
      <c r="U8" t="n">
        <v>900</v>
      </c>
      <c r="V8" t="n">
        <v>15</v>
      </c>
      <c r="W8" t="n">
        <v>15</v>
      </c>
      <c r="X8" t="n">
        <v>120</v>
      </c>
      <c r="Y8" t="n">
        <v>90</v>
      </c>
      <c r="Z8" t="n">
        <v>1.2</v>
      </c>
      <c r="AA8" t="n">
        <v>1.3</v>
      </c>
      <c r="AB8" t="n">
        <v>16</v>
      </c>
      <c r="AC8" t="n">
        <v>1.3</v>
      </c>
      <c r="AD8" t="n">
        <v>400</v>
      </c>
      <c r="AE8" t="n">
        <v>2.4</v>
      </c>
      <c r="AF8" t="n">
        <v>5</v>
      </c>
      <c r="AG8" t="n">
        <v>30</v>
      </c>
      <c r="AH8" t="n">
        <v>550</v>
      </c>
    </row>
    <row r="9">
      <c r="A9" t="inlineStr">
        <is>
          <t>male_31_50</t>
        </is>
      </c>
      <c r="B9" t="inlineStr">
        <is>
          <t>male</t>
        </is>
      </c>
      <c r="C9" t="n">
        <v>31</v>
      </c>
      <c r="D9" t="n">
        <v>50</v>
      </c>
      <c r="E9" t="inlineStr">
        <is>
          <t>Male, 31-50y</t>
        </is>
      </c>
      <c r="F9" t="n">
        <v>56</v>
      </c>
      <c r="G9" t="n">
        <v>130</v>
      </c>
      <c r="H9" t="n">
        <v>38</v>
      </c>
      <c r="I9" t="inlineStr">
        <is>
          <t>n/a</t>
        </is>
      </c>
      <c r="J9" t="n">
        <v>1000</v>
      </c>
      <c r="K9" t="n">
        <v>700</v>
      </c>
      <c r="L9" t="n">
        <v>420</v>
      </c>
      <c r="M9" t="n">
        <v>3400</v>
      </c>
      <c r="N9" t="n">
        <v>1500</v>
      </c>
      <c r="O9" t="n">
        <v>8</v>
      </c>
      <c r="P9" t="n">
        <v>11</v>
      </c>
      <c r="Q9" t="n">
        <v>55</v>
      </c>
      <c r="R9" t="n">
        <v>900</v>
      </c>
      <c r="S9" t="n">
        <v>2.3</v>
      </c>
      <c r="T9" t="n">
        <v>150</v>
      </c>
      <c r="U9" t="n">
        <v>900</v>
      </c>
      <c r="V9" t="n">
        <v>15</v>
      </c>
      <c r="W9" t="n">
        <v>15</v>
      </c>
      <c r="X9" t="n">
        <v>120</v>
      </c>
      <c r="Y9" t="n">
        <v>90</v>
      </c>
      <c r="Z9" t="n">
        <v>1.2</v>
      </c>
      <c r="AA9" t="n">
        <v>1.3</v>
      </c>
      <c r="AB9" t="n">
        <v>16</v>
      </c>
      <c r="AC9" t="n">
        <v>1.3</v>
      </c>
      <c r="AD9" t="n">
        <v>400</v>
      </c>
      <c r="AE9" t="n">
        <v>2.4</v>
      </c>
      <c r="AF9" t="n">
        <v>5</v>
      </c>
      <c r="AG9" t="n">
        <v>30</v>
      </c>
      <c r="AH9" t="n">
        <v>550</v>
      </c>
    </row>
    <row r="10">
      <c r="A10" t="inlineStr">
        <is>
          <t>male_51_70</t>
        </is>
      </c>
      <c r="B10" t="inlineStr">
        <is>
          <t>male</t>
        </is>
      </c>
      <c r="C10" t="n">
        <v>51</v>
      </c>
      <c r="D10" t="n">
        <v>70</v>
      </c>
      <c r="E10" t="inlineStr">
        <is>
          <t>Male, 51-70y</t>
        </is>
      </c>
      <c r="F10" t="n">
        <v>56</v>
      </c>
      <c r="G10" t="n">
        <v>130</v>
      </c>
      <c r="H10" t="n">
        <v>30</v>
      </c>
      <c r="I10" t="inlineStr">
        <is>
          <t>n/a</t>
        </is>
      </c>
      <c r="J10" t="n">
        <v>1000</v>
      </c>
      <c r="K10" t="n">
        <v>700</v>
      </c>
      <c r="L10" t="n">
        <v>420</v>
      </c>
      <c r="M10" t="n">
        <v>3400</v>
      </c>
      <c r="N10" t="n">
        <v>1500</v>
      </c>
      <c r="O10" t="n">
        <v>8</v>
      </c>
      <c r="P10" t="n">
        <v>11</v>
      </c>
      <c r="Q10" t="n">
        <v>55</v>
      </c>
      <c r="R10" t="n">
        <v>900</v>
      </c>
      <c r="S10" t="n">
        <v>2.3</v>
      </c>
      <c r="T10" t="n">
        <v>150</v>
      </c>
      <c r="U10" t="n">
        <v>900</v>
      </c>
      <c r="V10" t="n">
        <v>15</v>
      </c>
      <c r="W10" t="n">
        <v>15</v>
      </c>
      <c r="X10" t="n">
        <v>120</v>
      </c>
      <c r="Y10" t="n">
        <v>90</v>
      </c>
      <c r="Z10" t="n">
        <v>1.2</v>
      </c>
      <c r="AA10" t="n">
        <v>1.3</v>
      </c>
      <c r="AB10" t="n">
        <v>16</v>
      </c>
      <c r="AC10" t="n">
        <v>1.7</v>
      </c>
      <c r="AD10" t="n">
        <v>400</v>
      </c>
      <c r="AE10" t="n">
        <v>2.4</v>
      </c>
      <c r="AF10" t="n">
        <v>5</v>
      </c>
      <c r="AG10" t="n">
        <v>30</v>
      </c>
      <c r="AH10" t="n">
        <v>550</v>
      </c>
    </row>
    <row r="11">
      <c r="A11" t="inlineStr">
        <is>
          <t>male_70plus</t>
        </is>
      </c>
      <c r="B11" t="inlineStr">
        <is>
          <t>male</t>
        </is>
      </c>
      <c r="C11" t="n">
        <v>71</v>
      </c>
      <c r="D11" t="n">
        <v>200</v>
      </c>
      <c r="E11" t="inlineStr">
        <is>
          <t>Male, 70y+</t>
        </is>
      </c>
      <c r="F11" t="n">
        <v>56</v>
      </c>
      <c r="G11" t="n">
        <v>130</v>
      </c>
      <c r="H11" t="n">
        <v>30</v>
      </c>
      <c r="I11" t="inlineStr">
        <is>
          <t>n/a</t>
        </is>
      </c>
      <c r="J11" t="n">
        <v>1200</v>
      </c>
      <c r="K11" t="n">
        <v>700</v>
      </c>
      <c r="L11" t="n">
        <v>420</v>
      </c>
      <c r="M11" t="n">
        <v>3400</v>
      </c>
      <c r="N11" t="n">
        <v>1500</v>
      </c>
      <c r="O11" t="n">
        <v>8</v>
      </c>
      <c r="P11" t="n">
        <v>11</v>
      </c>
      <c r="Q11" t="n">
        <v>55</v>
      </c>
      <c r="R11" t="n">
        <v>900</v>
      </c>
      <c r="S11" t="n">
        <v>2.3</v>
      </c>
      <c r="T11" t="n">
        <v>150</v>
      </c>
      <c r="U11" t="n">
        <v>900</v>
      </c>
      <c r="V11" t="n">
        <v>20</v>
      </c>
      <c r="W11" t="n">
        <v>15</v>
      </c>
      <c r="X11" t="n">
        <v>120</v>
      </c>
      <c r="Y11" t="n">
        <v>90</v>
      </c>
      <c r="Z11" t="n">
        <v>1.2</v>
      </c>
      <c r="AA11" t="n">
        <v>1.3</v>
      </c>
      <c r="AB11" t="n">
        <v>16</v>
      </c>
      <c r="AC11" t="n">
        <v>1.7</v>
      </c>
      <c r="AD11" t="n">
        <v>400</v>
      </c>
      <c r="AE11" t="n">
        <v>2.4</v>
      </c>
      <c r="AF11" t="n">
        <v>5</v>
      </c>
      <c r="AG11" t="n">
        <v>30</v>
      </c>
      <c r="AH11" t="n">
        <v>550</v>
      </c>
    </row>
    <row r="12">
      <c r="A12" t="inlineStr">
        <is>
          <t>female_9_13</t>
        </is>
      </c>
      <c r="B12" t="inlineStr">
        <is>
          <t>female</t>
        </is>
      </c>
      <c r="C12" t="n">
        <v>9</v>
      </c>
      <c r="D12" t="n">
        <v>13</v>
      </c>
      <c r="E12" t="inlineStr">
        <is>
          <t>Female, 9-13y</t>
        </is>
      </c>
      <c r="F12" t="n">
        <v>34</v>
      </c>
      <c r="G12" t="n">
        <v>130</v>
      </c>
      <c r="H12" t="n">
        <v>26</v>
      </c>
      <c r="I12" t="inlineStr">
        <is>
          <t>n/a</t>
        </is>
      </c>
      <c r="J12" t="n">
        <v>1300</v>
      </c>
      <c r="K12" t="n">
        <v>1250</v>
      </c>
      <c r="L12" t="n">
        <v>240</v>
      </c>
      <c r="M12" t="n">
        <v>2300</v>
      </c>
      <c r="N12" t="n">
        <v>1200</v>
      </c>
      <c r="O12" t="n">
        <v>8</v>
      </c>
      <c r="P12" t="n">
        <v>8</v>
      </c>
      <c r="Q12" t="n">
        <v>40</v>
      </c>
      <c r="R12" t="n">
        <v>700</v>
      </c>
      <c r="S12" t="n">
        <v>1.6</v>
      </c>
      <c r="T12" t="n">
        <v>120</v>
      </c>
      <c r="U12" t="n">
        <v>600</v>
      </c>
      <c r="V12" t="n">
        <v>15</v>
      </c>
      <c r="W12" t="n">
        <v>11</v>
      </c>
      <c r="X12" t="n">
        <v>60</v>
      </c>
      <c r="Y12" t="n">
        <v>45</v>
      </c>
      <c r="Z12" t="n">
        <v>0.9</v>
      </c>
      <c r="AA12" t="n">
        <v>0.9</v>
      </c>
      <c r="AB12" t="n">
        <v>12</v>
      </c>
      <c r="AC12" t="n">
        <v>1</v>
      </c>
      <c r="AD12" t="n">
        <v>300</v>
      </c>
      <c r="AE12" t="n">
        <v>1.8</v>
      </c>
      <c r="AF12" t="n">
        <v>4</v>
      </c>
      <c r="AG12" t="n">
        <v>20</v>
      </c>
      <c r="AH12" t="n">
        <v>375</v>
      </c>
    </row>
    <row r="13">
      <c r="A13" t="inlineStr">
        <is>
          <t>female_14_18</t>
        </is>
      </c>
      <c r="B13" t="inlineStr">
        <is>
          <t>female</t>
        </is>
      </c>
      <c r="C13" t="n">
        <v>14</v>
      </c>
      <c r="D13" t="n">
        <v>18</v>
      </c>
      <c r="E13" t="inlineStr">
        <is>
          <t>Female, 14-18y</t>
        </is>
      </c>
      <c r="F13" t="n">
        <v>46</v>
      </c>
      <c r="G13" t="n">
        <v>130</v>
      </c>
      <c r="H13" t="n">
        <v>26</v>
      </c>
      <c r="I13" t="inlineStr">
        <is>
          <t>n/a</t>
        </is>
      </c>
      <c r="J13" t="n">
        <v>1300</v>
      </c>
      <c r="K13" t="n">
        <v>1250</v>
      </c>
      <c r="L13" t="n">
        <v>360</v>
      </c>
      <c r="M13" t="n">
        <v>2300</v>
      </c>
      <c r="N13" t="n">
        <v>1500</v>
      </c>
      <c r="O13" t="n">
        <v>15</v>
      </c>
      <c r="P13" t="n">
        <v>9</v>
      </c>
      <c r="Q13" t="n">
        <v>55</v>
      </c>
      <c r="R13" t="n">
        <v>890</v>
      </c>
      <c r="S13" t="n">
        <v>1.6</v>
      </c>
      <c r="T13" t="n">
        <v>150</v>
      </c>
      <c r="U13" t="n">
        <v>700</v>
      </c>
      <c r="V13" t="n">
        <v>15</v>
      </c>
      <c r="W13" t="n">
        <v>15</v>
      </c>
      <c r="X13" t="n">
        <v>75</v>
      </c>
      <c r="Y13" t="n">
        <v>65</v>
      </c>
      <c r="Z13" t="n">
        <v>1</v>
      </c>
      <c r="AA13" t="n">
        <v>1</v>
      </c>
      <c r="AB13" t="n">
        <v>14</v>
      </c>
      <c r="AC13" t="n">
        <v>1.2</v>
      </c>
      <c r="AD13" t="n">
        <v>400</v>
      </c>
      <c r="AE13" t="n">
        <v>2.4</v>
      </c>
      <c r="AF13" t="n">
        <v>5</v>
      </c>
      <c r="AG13" t="n">
        <v>25</v>
      </c>
      <c r="AH13" t="n">
        <v>400</v>
      </c>
    </row>
    <row r="14">
      <c r="A14" t="inlineStr">
        <is>
          <t>female_19_30</t>
        </is>
      </c>
      <c r="B14" t="inlineStr">
        <is>
          <t>female</t>
        </is>
      </c>
      <c r="C14" t="n">
        <v>19</v>
      </c>
      <c r="D14" t="n">
        <v>30</v>
      </c>
      <c r="E14" t="inlineStr">
        <is>
          <t>Female, 19-30y</t>
        </is>
      </c>
      <c r="F14" t="n">
        <v>46</v>
      </c>
      <c r="G14" t="n">
        <v>130</v>
      </c>
      <c r="H14" t="n">
        <v>25</v>
      </c>
      <c r="I14" t="inlineStr">
        <is>
          <t>n/a</t>
        </is>
      </c>
      <c r="J14" t="n">
        <v>1000</v>
      </c>
      <c r="K14" t="n">
        <v>700</v>
      </c>
      <c r="L14" t="n">
        <v>310</v>
      </c>
      <c r="M14" t="n">
        <v>2600</v>
      </c>
      <c r="N14" t="n">
        <v>1500</v>
      </c>
      <c r="O14" t="n">
        <v>18</v>
      </c>
      <c r="P14" t="n">
        <v>8</v>
      </c>
      <c r="Q14" t="n">
        <v>55</v>
      </c>
      <c r="R14" t="n">
        <v>900</v>
      </c>
      <c r="S14" t="n">
        <v>1.8</v>
      </c>
      <c r="T14" t="n">
        <v>150</v>
      </c>
      <c r="U14" t="n">
        <v>700</v>
      </c>
      <c r="V14" t="n">
        <v>15</v>
      </c>
      <c r="W14" t="n">
        <v>15</v>
      </c>
      <c r="X14" t="n">
        <v>90</v>
      </c>
      <c r="Y14" t="n">
        <v>75</v>
      </c>
      <c r="Z14" t="n">
        <v>1.1</v>
      </c>
      <c r="AA14" t="n">
        <v>1.1</v>
      </c>
      <c r="AB14" t="n">
        <v>14</v>
      </c>
      <c r="AC14" t="n">
        <v>1.3</v>
      </c>
      <c r="AD14" t="n">
        <v>400</v>
      </c>
      <c r="AE14" t="n">
        <v>2.4</v>
      </c>
      <c r="AF14" t="n">
        <v>5</v>
      </c>
      <c r="AG14" t="n">
        <v>30</v>
      </c>
      <c r="AH14" t="n">
        <v>425</v>
      </c>
    </row>
    <row r="15">
      <c r="A15" t="inlineStr">
        <is>
          <t>female_31_50</t>
        </is>
      </c>
      <c r="B15" t="inlineStr">
        <is>
          <t>female</t>
        </is>
      </c>
      <c r="C15" t="n">
        <v>31</v>
      </c>
      <c r="D15" t="n">
        <v>50</v>
      </c>
      <c r="E15" t="inlineStr">
        <is>
          <t>Female, 31-50y</t>
        </is>
      </c>
      <c r="F15" t="n">
        <v>46</v>
      </c>
      <c r="G15" t="n">
        <v>130</v>
      </c>
      <c r="H15" t="n">
        <v>25</v>
      </c>
      <c r="I15" t="inlineStr">
        <is>
          <t>n/a</t>
        </is>
      </c>
      <c r="J15" t="n">
        <v>1000</v>
      </c>
      <c r="K15" t="n">
        <v>700</v>
      </c>
      <c r="L15" t="n">
        <v>320</v>
      </c>
      <c r="M15" t="n">
        <v>2600</v>
      </c>
      <c r="N15" t="n">
        <v>1500</v>
      </c>
      <c r="O15" t="n">
        <v>18</v>
      </c>
      <c r="P15" t="n">
        <v>8</v>
      </c>
      <c r="Q15" t="n">
        <v>55</v>
      </c>
      <c r="R15" t="n">
        <v>900</v>
      </c>
      <c r="S15" t="n">
        <v>1.8</v>
      </c>
      <c r="T15" t="n">
        <v>150</v>
      </c>
      <c r="U15" t="n">
        <v>700</v>
      </c>
      <c r="V15" t="n">
        <v>15</v>
      </c>
      <c r="W15" t="n">
        <v>15</v>
      </c>
      <c r="X15" t="n">
        <v>90</v>
      </c>
      <c r="Y15" t="n">
        <v>75</v>
      </c>
      <c r="Z15" t="n">
        <v>1.1</v>
      </c>
      <c r="AA15" t="n">
        <v>1.1</v>
      </c>
      <c r="AB15" t="n">
        <v>14</v>
      </c>
      <c r="AC15" t="n">
        <v>1.3</v>
      </c>
      <c r="AD15" t="n">
        <v>400</v>
      </c>
      <c r="AE15" t="n">
        <v>2.4</v>
      </c>
      <c r="AF15" t="n">
        <v>5</v>
      </c>
      <c r="AG15" t="n">
        <v>30</v>
      </c>
      <c r="AH15" t="n">
        <v>425</v>
      </c>
    </row>
    <row r="16">
      <c r="A16" t="inlineStr">
        <is>
          <t>female_51_70</t>
        </is>
      </c>
      <c r="B16" t="inlineStr">
        <is>
          <t>female</t>
        </is>
      </c>
      <c r="C16" t="n">
        <v>51</v>
      </c>
      <c r="D16" t="n">
        <v>70</v>
      </c>
      <c r="E16" t="inlineStr">
        <is>
          <t>Female, 51-70y</t>
        </is>
      </c>
      <c r="F16" t="n">
        <v>46</v>
      </c>
      <c r="G16" t="n">
        <v>130</v>
      </c>
      <c r="H16" t="n">
        <v>21</v>
      </c>
      <c r="I16" t="inlineStr">
        <is>
          <t>n/a</t>
        </is>
      </c>
      <c r="J16" t="n">
        <v>1200</v>
      </c>
      <c r="K16" t="n">
        <v>700</v>
      </c>
      <c r="L16" t="n">
        <v>320</v>
      </c>
      <c r="M16" t="n">
        <v>2600</v>
      </c>
      <c r="N16" t="n">
        <v>1500</v>
      </c>
      <c r="O16" t="n">
        <v>8</v>
      </c>
      <c r="P16" t="n">
        <v>8</v>
      </c>
      <c r="Q16" t="n">
        <v>55</v>
      </c>
      <c r="R16" t="n">
        <v>900</v>
      </c>
      <c r="S16" t="n">
        <v>1.8</v>
      </c>
      <c r="T16" t="n">
        <v>150</v>
      </c>
      <c r="U16" t="n">
        <v>700</v>
      </c>
      <c r="V16" t="n">
        <v>15</v>
      </c>
      <c r="W16" t="n">
        <v>15</v>
      </c>
      <c r="X16" t="n">
        <v>90</v>
      </c>
      <c r="Y16" t="n">
        <v>75</v>
      </c>
      <c r="Z16" t="n">
        <v>1.1</v>
      </c>
      <c r="AA16" t="n">
        <v>1.1</v>
      </c>
      <c r="AB16" t="n">
        <v>14</v>
      </c>
      <c r="AC16" t="n">
        <v>1.5</v>
      </c>
      <c r="AD16" t="n">
        <v>400</v>
      </c>
      <c r="AE16" t="n">
        <v>2.4</v>
      </c>
      <c r="AF16" t="n">
        <v>5</v>
      </c>
      <c r="AG16" t="n">
        <v>30</v>
      </c>
      <c r="AH16" t="n">
        <v>425</v>
      </c>
    </row>
    <row r="17">
      <c r="A17" t="inlineStr">
        <is>
          <t>female_70plus</t>
        </is>
      </c>
      <c r="B17" t="inlineStr">
        <is>
          <t>female</t>
        </is>
      </c>
      <c r="C17" t="n">
        <v>71</v>
      </c>
      <c r="D17" t="n">
        <v>200</v>
      </c>
      <c r="E17" t="inlineStr">
        <is>
          <t>Female, 70y+</t>
        </is>
      </c>
      <c r="F17" t="n">
        <v>46</v>
      </c>
      <c r="G17" t="n">
        <v>130</v>
      </c>
      <c r="H17" t="n">
        <v>21</v>
      </c>
      <c r="I17" t="inlineStr">
        <is>
          <t>n/a</t>
        </is>
      </c>
      <c r="J17" t="n">
        <v>1200</v>
      </c>
      <c r="K17" t="n">
        <v>700</v>
      </c>
      <c r="L17" t="n">
        <v>320</v>
      </c>
      <c r="M17" t="n">
        <v>2600</v>
      </c>
      <c r="N17" t="n">
        <v>1500</v>
      </c>
      <c r="O17" t="n">
        <v>8</v>
      </c>
      <c r="P17" t="n">
        <v>8</v>
      </c>
      <c r="Q17" t="n">
        <v>55</v>
      </c>
      <c r="R17" t="n">
        <v>900</v>
      </c>
      <c r="S17" t="n">
        <v>1.8</v>
      </c>
      <c r="T17" t="n">
        <v>150</v>
      </c>
      <c r="U17" t="n">
        <v>700</v>
      </c>
      <c r="V17" t="n">
        <v>20</v>
      </c>
      <c r="W17" t="n">
        <v>15</v>
      </c>
      <c r="X17" t="n">
        <v>90</v>
      </c>
      <c r="Y17" t="n">
        <v>75</v>
      </c>
      <c r="Z17" t="n">
        <v>1.1</v>
      </c>
      <c r="AA17" t="n">
        <v>1.1</v>
      </c>
      <c r="AB17" t="n">
        <v>14</v>
      </c>
      <c r="AC17" t="n">
        <v>1.5</v>
      </c>
      <c r="AD17" t="n">
        <v>400</v>
      </c>
      <c r="AE17" t="n">
        <v>2.4</v>
      </c>
      <c r="AF17" t="n">
        <v>5</v>
      </c>
      <c r="AG17" t="n">
        <v>30</v>
      </c>
      <c r="AH17" t="n">
        <v>425</v>
      </c>
    </row>
    <row r="18">
      <c r="A18" t="inlineStr">
        <is>
          <t>pregnant_14_18</t>
        </is>
      </c>
      <c r="B18" t="inlineStr">
        <is>
          <t>pregnant</t>
        </is>
      </c>
      <c r="C18" t="n">
        <v>14</v>
      </c>
      <c r="D18" t="n">
        <v>18</v>
      </c>
      <c r="E18" t="inlineStr">
        <is>
          <t>Pregnant, 14-18y</t>
        </is>
      </c>
      <c r="F18" t="n">
        <v>71</v>
      </c>
      <c r="G18" t="n">
        <v>175</v>
      </c>
      <c r="H18" t="n">
        <v>28</v>
      </c>
      <c r="I18" t="inlineStr">
        <is>
          <t>n/a</t>
        </is>
      </c>
      <c r="J18" t="n">
        <v>1300</v>
      </c>
      <c r="K18" t="n">
        <v>1250</v>
      </c>
      <c r="L18" t="n">
        <v>400</v>
      </c>
      <c r="M18" t="n">
        <v>2600</v>
      </c>
      <c r="N18" t="n">
        <v>1500</v>
      </c>
      <c r="O18" t="n">
        <v>27</v>
      </c>
      <c r="P18" t="n">
        <v>12</v>
      </c>
      <c r="Q18" t="n">
        <v>60</v>
      </c>
      <c r="R18" t="n">
        <v>1000</v>
      </c>
      <c r="S18" t="n">
        <v>2</v>
      </c>
      <c r="T18" t="n">
        <v>220</v>
      </c>
      <c r="U18" t="n">
        <v>750</v>
      </c>
      <c r="V18" t="n">
        <v>15</v>
      </c>
      <c r="W18" t="n">
        <v>15</v>
      </c>
      <c r="X18" t="n">
        <v>75</v>
      </c>
      <c r="Y18" t="n">
        <v>80</v>
      </c>
      <c r="Z18" t="n">
        <v>1.4</v>
      </c>
      <c r="AA18" t="n">
        <v>1.4</v>
      </c>
      <c r="AB18" t="n">
        <v>18</v>
      </c>
      <c r="AC18" t="n">
        <v>1.9</v>
      </c>
      <c r="AD18" t="n">
        <v>600</v>
      </c>
      <c r="AE18" t="n">
        <v>2.6</v>
      </c>
      <c r="AF18" t="n">
        <v>6</v>
      </c>
      <c r="AG18" t="n">
        <v>30</v>
      </c>
      <c r="AH18" t="n">
        <v>450</v>
      </c>
    </row>
    <row r="19">
      <c r="A19" t="inlineStr">
        <is>
          <t>pregnant_19_30</t>
        </is>
      </c>
      <c r="B19" t="inlineStr">
        <is>
          <t>pregnant</t>
        </is>
      </c>
      <c r="C19" t="n">
        <v>19</v>
      </c>
      <c r="D19" t="n">
        <v>30</v>
      </c>
      <c r="E19" t="inlineStr">
        <is>
          <t>Pregnant, 19-30y</t>
        </is>
      </c>
      <c r="F19" t="n">
        <v>71</v>
      </c>
      <c r="G19" t="n">
        <v>175</v>
      </c>
      <c r="H19" t="n">
        <v>28</v>
      </c>
      <c r="I19" t="inlineStr">
        <is>
          <t>n/a</t>
        </is>
      </c>
      <c r="J19" t="n">
        <v>1000</v>
      </c>
      <c r="K19" t="n">
        <v>700</v>
      </c>
      <c r="L19" t="n">
        <v>350</v>
      </c>
      <c r="M19" t="n">
        <v>2900</v>
      </c>
      <c r="N19" t="n">
        <v>1500</v>
      </c>
      <c r="O19" t="n">
        <v>27</v>
      </c>
      <c r="P19" t="n">
        <v>11</v>
      </c>
      <c r="Q19" t="n">
        <v>60</v>
      </c>
      <c r="R19" t="n">
        <v>1000</v>
      </c>
      <c r="S19" t="n">
        <v>2</v>
      </c>
      <c r="T19" t="n">
        <v>220</v>
      </c>
      <c r="U19" t="n">
        <v>770</v>
      </c>
      <c r="V19" t="n">
        <v>15</v>
      </c>
      <c r="W19" t="n">
        <v>15</v>
      </c>
      <c r="X19" t="n">
        <v>90</v>
      </c>
      <c r="Y19" t="n">
        <v>85</v>
      </c>
      <c r="Z19" t="n">
        <v>1.4</v>
      </c>
      <c r="AA19" t="n">
        <v>1.4</v>
      </c>
      <c r="AB19" t="n">
        <v>18</v>
      </c>
      <c r="AC19" t="n">
        <v>1.9</v>
      </c>
      <c r="AD19" t="n">
        <v>600</v>
      </c>
      <c r="AE19" t="n">
        <v>2.6</v>
      </c>
      <c r="AF19" t="n">
        <v>6</v>
      </c>
      <c r="AG19" t="n">
        <v>30</v>
      </c>
      <c r="AH19" t="n">
        <v>450</v>
      </c>
    </row>
    <row r="20">
      <c r="A20" t="inlineStr">
        <is>
          <t>pregnant_31_50</t>
        </is>
      </c>
      <c r="B20" t="inlineStr">
        <is>
          <t>pregnant</t>
        </is>
      </c>
      <c r="C20" t="n">
        <v>31</v>
      </c>
      <c r="D20" t="n">
        <v>50</v>
      </c>
      <c r="E20" t="inlineStr">
        <is>
          <t>Pregnant, 31-50y</t>
        </is>
      </c>
      <c r="F20" t="n">
        <v>71</v>
      </c>
      <c r="G20" t="n">
        <v>175</v>
      </c>
      <c r="H20" t="n">
        <v>28</v>
      </c>
      <c r="I20" t="inlineStr">
        <is>
          <t>n/a</t>
        </is>
      </c>
      <c r="J20" t="n">
        <v>1000</v>
      </c>
      <c r="K20" t="n">
        <v>700</v>
      </c>
      <c r="L20" t="n">
        <v>360</v>
      </c>
      <c r="M20" t="n">
        <v>2900</v>
      </c>
      <c r="N20" t="n">
        <v>1500</v>
      </c>
      <c r="O20" t="n">
        <v>27</v>
      </c>
      <c r="P20" t="n">
        <v>11</v>
      </c>
      <c r="Q20" t="n">
        <v>60</v>
      </c>
      <c r="R20" t="n">
        <v>1000</v>
      </c>
      <c r="S20" t="n">
        <v>2</v>
      </c>
      <c r="T20" t="n">
        <v>220</v>
      </c>
      <c r="U20" t="n">
        <v>770</v>
      </c>
      <c r="V20" t="n">
        <v>15</v>
      </c>
      <c r="W20" t="n">
        <v>15</v>
      </c>
      <c r="X20" t="n">
        <v>90</v>
      </c>
      <c r="Y20" t="n">
        <v>85</v>
      </c>
      <c r="Z20" t="n">
        <v>1.4</v>
      </c>
      <c r="AA20" t="n">
        <v>1.4</v>
      </c>
      <c r="AB20" t="n">
        <v>18</v>
      </c>
      <c r="AC20" t="n">
        <v>1.9</v>
      </c>
      <c r="AD20" t="n">
        <v>600</v>
      </c>
      <c r="AE20" t="n">
        <v>2.6</v>
      </c>
      <c r="AF20" t="n">
        <v>6</v>
      </c>
      <c r="AG20" t="n">
        <v>30</v>
      </c>
      <c r="AH20" t="n">
        <v>450</v>
      </c>
    </row>
    <row r="21">
      <c r="A21" t="inlineStr">
        <is>
          <t>lactating_14_18</t>
        </is>
      </c>
      <c r="B21" t="inlineStr">
        <is>
          <t>lactating</t>
        </is>
      </c>
      <c r="C21" t="n">
        <v>14</v>
      </c>
      <c r="D21" t="n">
        <v>18</v>
      </c>
      <c r="E21" t="inlineStr">
        <is>
          <t>Lactating, 14-18y</t>
        </is>
      </c>
      <c r="F21" t="n">
        <v>71</v>
      </c>
      <c r="G21" t="n">
        <v>210</v>
      </c>
      <c r="H21" t="n">
        <v>29</v>
      </c>
      <c r="I21" t="inlineStr">
        <is>
          <t>n/a</t>
        </is>
      </c>
      <c r="J21" t="n">
        <v>1300</v>
      </c>
      <c r="K21" t="n">
        <v>1250</v>
      </c>
      <c r="L21" t="n">
        <v>360</v>
      </c>
      <c r="M21" t="n">
        <v>2500</v>
      </c>
      <c r="N21" t="n">
        <v>1500</v>
      </c>
      <c r="O21" t="n">
        <v>10</v>
      </c>
      <c r="P21" t="n">
        <v>13</v>
      </c>
      <c r="Q21" t="n">
        <v>70</v>
      </c>
      <c r="R21" t="n">
        <v>1300</v>
      </c>
      <c r="S21" t="n">
        <v>2.6</v>
      </c>
      <c r="T21" t="n">
        <v>290</v>
      </c>
      <c r="U21" t="n">
        <v>1200</v>
      </c>
      <c r="V21" t="n">
        <v>15</v>
      </c>
      <c r="W21" t="n">
        <v>19</v>
      </c>
      <c r="X21" t="n">
        <v>75</v>
      </c>
      <c r="Y21" t="n">
        <v>115</v>
      </c>
      <c r="Z21" t="n">
        <v>1.4</v>
      </c>
      <c r="AA21" t="n">
        <v>1.6</v>
      </c>
      <c r="AB21" t="n">
        <v>17</v>
      </c>
      <c r="AC21" t="n">
        <v>2</v>
      </c>
      <c r="AD21" t="n">
        <v>500</v>
      </c>
      <c r="AE21" t="n">
        <v>2.8</v>
      </c>
      <c r="AF21" t="n">
        <v>7</v>
      </c>
      <c r="AG21" t="n">
        <v>35</v>
      </c>
      <c r="AH21" t="n">
        <v>550</v>
      </c>
    </row>
    <row r="22">
      <c r="A22" t="inlineStr">
        <is>
          <t>lactating_19_30</t>
        </is>
      </c>
      <c r="B22" t="inlineStr">
        <is>
          <t>lactating</t>
        </is>
      </c>
      <c r="C22" t="n">
        <v>19</v>
      </c>
      <c r="D22" t="n">
        <v>30</v>
      </c>
      <c r="E22" t="inlineStr">
        <is>
          <t>Lactating, 19-30y</t>
        </is>
      </c>
      <c r="F22" t="n">
        <v>71</v>
      </c>
      <c r="G22" t="n">
        <v>210</v>
      </c>
      <c r="H22" t="n">
        <v>29</v>
      </c>
      <c r="I22" t="inlineStr">
        <is>
          <t>n/a</t>
        </is>
      </c>
      <c r="J22" t="n">
        <v>1000</v>
      </c>
      <c r="K22" t="n">
        <v>700</v>
      </c>
      <c r="L22" t="n">
        <v>310</v>
      </c>
      <c r="M22" t="n">
        <v>2800</v>
      </c>
      <c r="N22" t="n">
        <v>1500</v>
      </c>
      <c r="O22" t="n">
        <v>9</v>
      </c>
      <c r="P22" t="n">
        <v>12</v>
      </c>
      <c r="Q22" t="n">
        <v>70</v>
      </c>
      <c r="R22" t="n">
        <v>1300</v>
      </c>
      <c r="S22" t="n">
        <v>2.6</v>
      </c>
      <c r="T22" t="n">
        <v>290</v>
      </c>
      <c r="U22" t="n">
        <v>1300</v>
      </c>
      <c r="V22" t="n">
        <v>15</v>
      </c>
      <c r="W22" t="n">
        <v>19</v>
      </c>
      <c r="X22" t="n">
        <v>90</v>
      </c>
      <c r="Y22" t="n">
        <v>120</v>
      </c>
      <c r="Z22" t="n">
        <v>1.4</v>
      </c>
      <c r="AA22" t="n">
        <v>1.6</v>
      </c>
      <c r="AB22" t="n">
        <v>17</v>
      </c>
      <c r="AC22" t="n">
        <v>2</v>
      </c>
      <c r="AD22" t="n">
        <v>500</v>
      </c>
      <c r="AE22" t="n">
        <v>2.8</v>
      </c>
      <c r="AF22" t="n">
        <v>7</v>
      </c>
      <c r="AG22" t="n">
        <v>35</v>
      </c>
      <c r="AH22" t="n">
        <v>550</v>
      </c>
    </row>
    <row r="23">
      <c r="A23" t="inlineStr">
        <is>
          <t>lactating_31_50</t>
        </is>
      </c>
      <c r="B23" t="inlineStr">
        <is>
          <t>lactating</t>
        </is>
      </c>
      <c r="C23" t="n">
        <v>31</v>
      </c>
      <c r="D23" t="n">
        <v>50</v>
      </c>
      <c r="E23" t="inlineStr">
        <is>
          <t>Lactating, 31-50y</t>
        </is>
      </c>
      <c r="F23" t="n">
        <v>71</v>
      </c>
      <c r="G23" t="n">
        <v>210</v>
      </c>
      <c r="H23" t="n">
        <v>29</v>
      </c>
      <c r="I23" t="inlineStr">
        <is>
          <t>n/a</t>
        </is>
      </c>
      <c r="J23" t="n">
        <v>1000</v>
      </c>
      <c r="K23" t="n">
        <v>700</v>
      </c>
      <c r="L23" t="n">
        <v>320</v>
      </c>
      <c r="M23" t="n">
        <v>2800</v>
      </c>
      <c r="N23" t="n">
        <v>1500</v>
      </c>
      <c r="O23" t="n">
        <v>9</v>
      </c>
      <c r="P23" t="n">
        <v>12</v>
      </c>
      <c r="Q23" t="n">
        <v>70</v>
      </c>
      <c r="R23" t="n">
        <v>1300</v>
      </c>
      <c r="S23" t="n">
        <v>2.6</v>
      </c>
      <c r="T23" t="n">
        <v>290</v>
      </c>
      <c r="U23" t="n">
        <v>1300</v>
      </c>
      <c r="V23" t="n">
        <v>15</v>
      </c>
      <c r="W23" t="n">
        <v>19</v>
      </c>
      <c r="X23" t="n">
        <v>90</v>
      </c>
      <c r="Y23" t="n">
        <v>120</v>
      </c>
      <c r="Z23" t="n">
        <v>1.4</v>
      </c>
      <c r="AA23" t="n">
        <v>1.6</v>
      </c>
      <c r="AB23" t="n">
        <v>17</v>
      </c>
      <c r="AC23" t="n">
        <v>2</v>
      </c>
      <c r="AD23" t="n">
        <v>500</v>
      </c>
      <c r="AE23" t="n">
        <v>2.8</v>
      </c>
      <c r="AF23" t="n">
        <v>7</v>
      </c>
      <c r="AG23" t="n">
        <v>35</v>
      </c>
      <c r="AH23" t="n">
        <v>550</v>
      </c>
    </row>
    <row r="24">
      <c r="A24" s="4" t="inlineStr">
        <is>
          <t>Your personal targets (from My Profile):</t>
        </is>
      </c>
    </row>
    <row r="25">
      <c r="E25" t="inlineStr">
        <is>
          <t>YOUR TARGET</t>
        </is>
      </c>
      <c r="F25">
        <f>IFERROR(INDEX(F2:F23, MATCH(1, (B2:B23='My Profile'!$B$5)*(C2:C23&lt;='My Profile'!$B$4)*(D2:D23&gt;='My Profile'!$B$4), 0)), "no match")</f>
        <v/>
      </c>
      <c r="G25">
        <f>IFERROR(INDEX(G2:G23, MATCH(1, (B2:B23='My Profile'!$B$5)*(C2:C23&lt;='My Profile'!$B$4)*(D2:D23&gt;='My Profile'!$B$4), 0)), "no match")</f>
        <v/>
      </c>
      <c r="H25">
        <f>IFERROR(INDEX(H2:H23, MATCH(1, (B2:B23='My Profile'!$B$5)*(C2:C23&lt;='My Profile'!$B$4)*(D2:D23&gt;='My Profile'!$B$4), 0)), "no match")</f>
        <v/>
      </c>
      <c r="I25">
        <f>IFERROR(INDEX(I2:I23, MATCH(1, (B2:B23='My Profile'!$B$5)*(C2:C23&lt;='My Profile'!$B$4)*(D2:D23&gt;='My Profile'!$B$4), 0)), "no match")</f>
        <v/>
      </c>
      <c r="J25">
        <f>IFERROR(INDEX(J2:J23, MATCH(1, (B2:B23='My Profile'!$B$5)*(C2:C23&lt;='My Profile'!$B$4)*(D2:D23&gt;='My Profile'!$B$4), 0)), "no match")</f>
        <v/>
      </c>
      <c r="K25">
        <f>IFERROR(INDEX(K2:K23, MATCH(1, (B2:B23='My Profile'!$B$5)*(C2:C23&lt;='My Profile'!$B$4)*(D2:D23&gt;='My Profile'!$B$4), 0)), "no match")</f>
        <v/>
      </c>
      <c r="L25">
        <f>IFERROR(INDEX(L2:L23, MATCH(1, (B2:B23='My Profile'!$B$5)*(C2:C23&lt;='My Profile'!$B$4)*(D2:D23&gt;='My Profile'!$B$4), 0)), "no match")</f>
        <v/>
      </c>
      <c r="M25">
        <f>IFERROR(INDEX(M2:M23, MATCH(1, (B2:B23='My Profile'!$B$5)*(C2:C23&lt;='My Profile'!$B$4)*(D2:D23&gt;='My Profile'!$B$4), 0)), "no match")</f>
        <v/>
      </c>
      <c r="N25">
        <f>IFERROR(INDEX(N2:N23, MATCH(1, (B2:B23='My Profile'!$B$5)*(C2:C23&lt;='My Profile'!$B$4)*(D2:D23&gt;='My Profile'!$B$4), 0)), "no match")</f>
        <v/>
      </c>
      <c r="O25">
        <f>IFERROR(INDEX(O2:O23, MATCH(1, (B2:B23='My Profile'!$B$5)*(C2:C23&lt;='My Profile'!$B$4)*(D2:D23&gt;='My Profile'!$B$4), 0)), "no match")</f>
        <v/>
      </c>
      <c r="P25">
        <f>IFERROR(INDEX(P2:P23, MATCH(1, (B2:B23='My Profile'!$B$5)*(C2:C23&lt;='My Profile'!$B$4)*(D2:D23&gt;='My Profile'!$B$4), 0)), "no match")</f>
        <v/>
      </c>
      <c r="Q25">
        <f>IFERROR(INDEX(Q2:Q23, MATCH(1, (B2:B23='My Profile'!$B$5)*(C2:C23&lt;='My Profile'!$B$4)*(D2:D23&gt;='My Profile'!$B$4), 0)), "no match")</f>
        <v/>
      </c>
      <c r="R25">
        <f>IFERROR(INDEX(R2:R23, MATCH(1, (B2:B23='My Profile'!$B$5)*(C2:C23&lt;='My Profile'!$B$4)*(D2:D23&gt;='My Profile'!$B$4), 0)), "no match")</f>
        <v/>
      </c>
      <c r="S25">
        <f>IFERROR(INDEX(S2:S23, MATCH(1, (B2:B23='My Profile'!$B$5)*(C2:C23&lt;='My Profile'!$B$4)*(D2:D23&gt;='My Profile'!$B$4), 0)), "no match")</f>
        <v/>
      </c>
      <c r="T25">
        <f>IFERROR(INDEX(T2:T23, MATCH(1, (B2:B23='My Profile'!$B$5)*(C2:C23&lt;='My Profile'!$B$4)*(D2:D23&gt;='My Profile'!$B$4), 0)), "no match")</f>
        <v/>
      </c>
      <c r="U25">
        <f>IFERROR(INDEX(U2:U23, MATCH(1, (B2:B23='My Profile'!$B$5)*(C2:C23&lt;='My Profile'!$B$4)*(D2:D23&gt;='My Profile'!$B$4), 0)), "no match")</f>
        <v/>
      </c>
      <c r="V25">
        <f>IFERROR(INDEX(V2:V23, MATCH(1, (B2:B23='My Profile'!$B$5)*(C2:C23&lt;='My Profile'!$B$4)*(D2:D23&gt;='My Profile'!$B$4), 0)), "no match")</f>
        <v/>
      </c>
      <c r="W25">
        <f>IFERROR(INDEX(W2:W23, MATCH(1, (B2:B23='My Profile'!$B$5)*(C2:C23&lt;='My Profile'!$B$4)*(D2:D23&gt;='My Profile'!$B$4), 0)), "no match")</f>
        <v/>
      </c>
      <c r="X25">
        <f>IFERROR(INDEX(X2:X23, MATCH(1, (B2:B23='My Profile'!$B$5)*(C2:C23&lt;='My Profile'!$B$4)*(D2:D23&gt;='My Profile'!$B$4), 0)), "no match")</f>
        <v/>
      </c>
      <c r="Y25">
        <f>IFERROR(INDEX(Y2:Y23, MATCH(1, (B2:B23='My Profile'!$B$5)*(C2:C23&lt;='My Profile'!$B$4)*(D2:D23&gt;='My Profile'!$B$4), 0)), "no match")</f>
        <v/>
      </c>
      <c r="Z25">
        <f>IFERROR(INDEX(Z2:Z23, MATCH(1, (B2:B23='My Profile'!$B$5)*(C2:C23&lt;='My Profile'!$B$4)*(D2:D23&gt;='My Profile'!$B$4), 0)), "no match")</f>
        <v/>
      </c>
      <c r="AA25">
        <f>IFERROR(INDEX(AA2:AA23, MATCH(1, (B2:B23='My Profile'!$B$5)*(C2:C23&lt;='My Profile'!$B$4)*(D2:D23&gt;='My Profile'!$B$4), 0)), "no match")</f>
        <v/>
      </c>
      <c r="AB25">
        <f>IFERROR(INDEX(AB2:AB23, MATCH(1, (B2:B23='My Profile'!$B$5)*(C2:C23&lt;='My Profile'!$B$4)*(D2:D23&gt;='My Profile'!$B$4), 0)), "no match")</f>
        <v/>
      </c>
      <c r="AC25">
        <f>IFERROR(INDEX(AC2:AC23, MATCH(1, (B2:B23='My Profile'!$B$5)*(C2:C23&lt;='My Profile'!$B$4)*(D2:D23&gt;='My Profile'!$B$4), 0)), "no match")</f>
        <v/>
      </c>
      <c r="AD25">
        <f>IFERROR(INDEX(AD2:AD23, MATCH(1, (B2:B23='My Profile'!$B$5)*(C2:C23&lt;='My Profile'!$B$4)*(D2:D23&gt;='My Profile'!$B$4), 0)), "no match")</f>
        <v/>
      </c>
      <c r="AE25">
        <f>IFERROR(INDEX(AE2:AE23, MATCH(1, (B2:B23='My Profile'!$B$5)*(C2:C23&lt;='My Profile'!$B$4)*(D2:D23&gt;='My Profile'!$B$4), 0)), "no match")</f>
        <v/>
      </c>
      <c r="AF25">
        <f>IFERROR(INDEX(AF2:AF23, MATCH(1, (B2:B23='My Profile'!$B$5)*(C2:C23&lt;='My Profile'!$B$4)*(D2:D23&gt;='My Profile'!$B$4), 0)), "no match")</f>
        <v/>
      </c>
      <c r="AG25">
        <f>IFERROR(INDEX(AG2:AG23, MATCH(1, (B2:B23='My Profile'!$B$5)*(C2:C23&lt;='My Profile'!$B$4)*(D2:D23&gt;='My Profile'!$B$4), 0)), "no match")</f>
        <v/>
      </c>
      <c r="AH25">
        <f>IFERROR(INDEX(AH2:AH23, MATCH(1, (B2:B23='My Profile'!$B$5)*(C2:C23&lt;='My Profile'!$B$4)*(D2:D23&gt;='My Profile'!$B$4), 0)), "no 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30" customWidth="1" min="3" max="3"/>
    <col width="40" customWidth="1" min="6" max="6"/>
  </cols>
  <sheetData>
    <row r="1">
      <c r="A1" s="2" t="inlineStr">
        <is>
          <t>category</t>
        </is>
      </c>
      <c r="B1" s="2" t="inlineStr">
        <is>
          <t>name</t>
        </is>
      </c>
      <c r="C1" s="2" t="inlineStr">
        <is>
          <t>common_names</t>
        </is>
      </c>
      <c r="D1" s="2" t="inlineStr">
        <is>
          <t>fdc_id</t>
        </is>
      </c>
      <c r="E1" s="2" t="inlineStr">
        <is>
          <t>source_name</t>
        </is>
      </c>
      <c r="F1" s="2" t="inlineStr">
        <is>
          <t>source_url</t>
        </is>
      </c>
      <c r="G1" s="2" t="inlineStr">
        <is>
          <t>published_date</t>
        </is>
      </c>
      <c r="H1" s="2" t="inlineStr">
        <is>
          <t>calcium_mg</t>
        </is>
      </c>
      <c r="I1" s="2" t="inlineStr">
        <is>
          <t>carb_g</t>
        </is>
      </c>
      <c r="J1" s="2" t="inlineStr">
        <is>
          <t>choline_mg</t>
        </is>
      </c>
      <c r="K1" s="2" t="inlineStr">
        <is>
          <t>copper_ug</t>
        </is>
      </c>
      <c r="L1" s="2" t="inlineStr">
        <is>
          <t>fat_g</t>
        </is>
      </c>
      <c r="M1" s="2" t="inlineStr">
        <is>
          <t>fiber_g</t>
        </is>
      </c>
      <c r="N1" s="2" t="inlineStr">
        <is>
          <t>folate_ug</t>
        </is>
      </c>
      <c r="O1" s="2" t="inlineStr">
        <is>
          <t>iron_mg</t>
        </is>
      </c>
      <c r="P1" s="2" t="inlineStr">
        <is>
          <t>kcal</t>
        </is>
      </c>
      <c r="Q1" s="2" t="inlineStr">
        <is>
          <t>magnesium_mg</t>
        </is>
      </c>
      <c r="R1" s="2" t="inlineStr">
        <is>
          <t>manganese_mg</t>
        </is>
      </c>
      <c r="S1" s="2" t="inlineStr">
        <is>
          <t>niacin_mg</t>
        </is>
      </c>
      <c r="T1" s="2" t="inlineStr">
        <is>
          <t>pantothenic_mg</t>
        </is>
      </c>
      <c r="U1" s="2" t="inlineStr">
        <is>
          <t>phosphorus_mg</t>
        </is>
      </c>
      <c r="V1" s="2" t="inlineStr">
        <is>
          <t>potassium_mg</t>
        </is>
      </c>
      <c r="W1" s="2" t="inlineStr">
        <is>
          <t>protein_g</t>
        </is>
      </c>
      <c r="X1" s="2" t="inlineStr">
        <is>
          <t>riboflavin_mg</t>
        </is>
      </c>
      <c r="Y1" s="2" t="inlineStr">
        <is>
          <t>sat_fat_g</t>
        </is>
      </c>
      <c r="Z1" s="2" t="inlineStr">
        <is>
          <t>selenium_ug</t>
        </is>
      </c>
      <c r="AA1" s="2" t="inlineStr">
        <is>
          <t>sodium_mg</t>
        </is>
      </c>
      <c r="AB1" s="2" t="inlineStr">
        <is>
          <t>sugar_g</t>
        </is>
      </c>
      <c r="AC1" s="2" t="inlineStr">
        <is>
          <t>thiamin_mg</t>
        </is>
      </c>
      <c r="AD1" s="2" t="inlineStr">
        <is>
          <t>vitA_ug</t>
        </is>
      </c>
      <c r="AE1" s="2" t="inlineStr">
        <is>
          <t>vitB12_ug</t>
        </is>
      </c>
      <c r="AF1" s="2" t="inlineStr">
        <is>
          <t>vitB6_mg</t>
        </is>
      </c>
      <c r="AG1" s="2" t="inlineStr">
        <is>
          <t>vitC_mg</t>
        </is>
      </c>
      <c r="AH1" s="2" t="inlineStr">
        <is>
          <t>vitD_ug</t>
        </is>
      </c>
      <c r="AI1" s="2" t="inlineStr">
        <is>
          <t>vitE_mg</t>
        </is>
      </c>
      <c r="AJ1" s="2" t="inlineStr">
        <is>
          <t>vitK_ug</t>
        </is>
      </c>
      <c r="AK1" s="2" t="inlineStr">
        <is>
          <t>zinc_mg</t>
        </is>
      </c>
    </row>
    <row r="2">
      <c r="A2" t="inlineStr">
        <is>
          <t>Meats</t>
        </is>
      </c>
      <c r="B2" t="inlineStr">
        <is>
          <t>Chicken, broilers or fryers, breast, meat only, cooked, roasted</t>
        </is>
      </c>
      <c r="C2" t="inlineStr"/>
      <c r="D2" t="n">
        <v>171477</v>
      </c>
      <c r="E2" t="inlineStr">
        <is>
          <t>USDA FoodData Central, SR Legacy</t>
        </is>
      </c>
      <c r="F2" t="inlineStr">
        <is>
          <t>https://api.nal.usda.gov/fdc/v1/food/171477</t>
        </is>
      </c>
      <c r="G2" t="inlineStr">
        <is>
          <t>2019-04-01</t>
        </is>
      </c>
      <c r="H2" t="n">
        <v>15</v>
      </c>
      <c r="I2" t="n">
        <v>0</v>
      </c>
      <c r="J2" t="n">
        <v>85.3</v>
      </c>
      <c r="K2" t="inlineStr">
        <is>
          <t>no data</t>
        </is>
      </c>
      <c r="L2" t="n">
        <v>3.57</v>
      </c>
      <c r="M2" t="n">
        <v>0</v>
      </c>
      <c r="N2" t="n">
        <v>4</v>
      </c>
      <c r="O2" t="n">
        <v>1.04</v>
      </c>
      <c r="P2" t="n">
        <v>165</v>
      </c>
      <c r="Q2" t="n">
        <v>29</v>
      </c>
      <c r="R2" t="n">
        <v>0.017</v>
      </c>
      <c r="S2" t="n">
        <v>13.7</v>
      </c>
      <c r="T2" t="n">
        <v>0.965</v>
      </c>
      <c r="U2" t="n">
        <v>228</v>
      </c>
      <c r="V2" t="n">
        <v>256</v>
      </c>
      <c r="W2" t="n">
        <v>31</v>
      </c>
      <c r="X2" t="n">
        <v>0.114</v>
      </c>
      <c r="Y2" t="n">
        <v>1.01</v>
      </c>
      <c r="Z2" t="n">
        <v>27.6</v>
      </c>
      <c r="AA2" t="n">
        <v>74</v>
      </c>
      <c r="AB2" t="inlineStr">
        <is>
          <t>no data</t>
        </is>
      </c>
      <c r="AC2" t="n">
        <v>0.07000000000000001</v>
      </c>
      <c r="AD2" t="n">
        <v>6</v>
      </c>
      <c r="AE2" t="n">
        <v>0.34</v>
      </c>
      <c r="AF2" t="n">
        <v>0.6</v>
      </c>
      <c r="AG2" t="n">
        <v>0</v>
      </c>
      <c r="AH2" t="n">
        <v>0.1</v>
      </c>
      <c r="AI2" t="n">
        <v>0.27</v>
      </c>
      <c r="AJ2" t="n">
        <v>0.3</v>
      </c>
      <c r="AK2" t="n">
        <v>1</v>
      </c>
    </row>
    <row r="3">
      <c r="A3" t="inlineStr">
        <is>
          <t>Meats</t>
        </is>
      </c>
      <c r="B3" t="inlineStr">
        <is>
          <t>Chicken, broilers or fryers, thigh, meat only, cooked, roasted</t>
        </is>
      </c>
      <c r="C3" t="inlineStr"/>
      <c r="D3" t="n">
        <v>172388</v>
      </c>
      <c r="E3" t="inlineStr">
        <is>
          <t>USDA FoodData Central, SR Legacy</t>
        </is>
      </c>
      <c r="F3" t="inlineStr">
        <is>
          <t>https://api.nal.usda.gov/fdc/v1/food/172388</t>
        </is>
      </c>
      <c r="G3" t="inlineStr">
        <is>
          <t>2019-04-01</t>
        </is>
      </c>
      <c r="H3" t="n">
        <v>9</v>
      </c>
      <c r="I3" t="n">
        <v>0</v>
      </c>
      <c r="J3" t="n">
        <v>71.8</v>
      </c>
      <c r="K3" t="inlineStr">
        <is>
          <t>no data</t>
        </is>
      </c>
      <c r="L3" t="n">
        <v>8.15</v>
      </c>
      <c r="M3" t="n">
        <v>0</v>
      </c>
      <c r="N3" t="n">
        <v>5</v>
      </c>
      <c r="O3" t="n">
        <v>1.13</v>
      </c>
      <c r="P3" t="n">
        <v>179</v>
      </c>
      <c r="Q3" t="n">
        <v>24</v>
      </c>
      <c r="R3" t="n">
        <v>0.016</v>
      </c>
      <c r="S3" t="n">
        <v>6.21</v>
      </c>
      <c r="T3" t="n">
        <v>1.3</v>
      </c>
      <c r="U3" t="n">
        <v>230</v>
      </c>
      <c r="V3" t="n">
        <v>269</v>
      </c>
      <c r="W3" t="n">
        <v>24.8</v>
      </c>
      <c r="X3" t="n">
        <v>0.218</v>
      </c>
      <c r="Y3" t="n">
        <v>2.31</v>
      </c>
      <c r="Z3" t="n">
        <v>27.1</v>
      </c>
      <c r="AA3" t="n">
        <v>106</v>
      </c>
      <c r="AB3" t="inlineStr">
        <is>
          <t>no data</t>
        </is>
      </c>
      <c r="AC3" t="n">
        <v>0.096</v>
      </c>
      <c r="AD3" t="n">
        <v>8</v>
      </c>
      <c r="AE3" t="n">
        <v>0.42</v>
      </c>
      <c r="AF3" t="n">
        <v>0.462</v>
      </c>
      <c r="AG3" t="n">
        <v>0</v>
      </c>
      <c r="AH3" t="n">
        <v>0.2</v>
      </c>
      <c r="AI3" t="n">
        <v>0.18</v>
      </c>
      <c r="AJ3" t="n">
        <v>3.9</v>
      </c>
      <c r="AK3" t="n">
        <v>1.92</v>
      </c>
    </row>
    <row r="4">
      <c r="A4" t="inlineStr">
        <is>
          <t>Meats</t>
        </is>
      </c>
      <c r="B4" t="inlineStr">
        <is>
          <t>Beef, ground, 85% lean meat / 15% fat, patty, cooked, broiled</t>
        </is>
      </c>
      <c r="C4" t="inlineStr">
        <is>
          <t>ground round, hamburger</t>
        </is>
      </c>
      <c r="D4" t="n">
        <v>174032</v>
      </c>
      <c r="E4" t="inlineStr">
        <is>
          <t>USDA FoodData Central, SR Legacy</t>
        </is>
      </c>
      <c r="F4" t="inlineStr">
        <is>
          <t>https://api.nal.usda.gov/fdc/v1/food/174032</t>
        </is>
      </c>
      <c r="G4" t="inlineStr">
        <is>
          <t>2019-04-01</t>
        </is>
      </c>
      <c r="H4" t="n">
        <v>18</v>
      </c>
      <c r="I4" t="n">
        <v>0</v>
      </c>
      <c r="J4" t="n">
        <v>82.40000000000001</v>
      </c>
      <c r="K4" t="inlineStr">
        <is>
          <t>no data</t>
        </is>
      </c>
      <c r="L4" t="n">
        <v>15.4</v>
      </c>
      <c r="M4" t="n">
        <v>0</v>
      </c>
      <c r="N4" t="n">
        <v>9</v>
      </c>
      <c r="O4" t="n">
        <v>2.6</v>
      </c>
      <c r="P4" t="n">
        <v>250</v>
      </c>
      <c r="Q4" t="n">
        <v>21</v>
      </c>
      <c r="R4" t="n">
        <v>0.012</v>
      </c>
      <c r="S4" t="n">
        <v>5.38</v>
      </c>
      <c r="T4" t="n">
        <v>0.658</v>
      </c>
      <c r="U4" t="n">
        <v>198</v>
      </c>
      <c r="V4" t="n">
        <v>318</v>
      </c>
      <c r="W4" t="n">
        <v>25.9</v>
      </c>
      <c r="X4" t="n">
        <v>0.176</v>
      </c>
      <c r="Y4" t="n">
        <v>5.9</v>
      </c>
      <c r="Z4" t="n">
        <v>21.5</v>
      </c>
      <c r="AA4" t="n">
        <v>72</v>
      </c>
      <c r="AB4" t="inlineStr">
        <is>
          <t>no data</t>
        </is>
      </c>
      <c r="AC4" t="n">
        <v>0.046</v>
      </c>
      <c r="AD4" t="n">
        <v>3</v>
      </c>
      <c r="AE4" t="n">
        <v>2.64</v>
      </c>
      <c r="AF4" t="n">
        <v>0.382</v>
      </c>
      <c r="AG4" t="n">
        <v>0</v>
      </c>
      <c r="AH4" t="n">
        <v>0</v>
      </c>
      <c r="AI4" t="n">
        <v>0.12</v>
      </c>
      <c r="AJ4" t="n">
        <v>1.2</v>
      </c>
      <c r="AK4" t="n">
        <v>6.31</v>
      </c>
    </row>
    <row r="5">
      <c r="A5" t="inlineStr">
        <is>
          <t>Meats</t>
        </is>
      </c>
      <c r="B5" t="inlineStr">
        <is>
          <t>Beef, ground, 93% lean meat / 7% fat, patty, cooked, broiled</t>
        </is>
      </c>
      <c r="C5" t="inlineStr">
        <is>
          <t>hamburger</t>
        </is>
      </c>
      <c r="D5" t="n">
        <v>174752</v>
      </c>
      <c r="E5" t="inlineStr">
        <is>
          <t>USDA FoodData Central, SR Legacy</t>
        </is>
      </c>
      <c r="F5" t="inlineStr">
        <is>
          <t>https://api.nal.usda.gov/fdc/v1/food/174752</t>
        </is>
      </c>
      <c r="G5" t="inlineStr">
        <is>
          <t>2019-04-01</t>
        </is>
      </c>
      <c r="H5" t="n">
        <v>9</v>
      </c>
      <c r="I5" t="n">
        <v>0</v>
      </c>
      <c r="J5" t="n">
        <v>84.8</v>
      </c>
      <c r="K5" t="inlineStr">
        <is>
          <t>no data</t>
        </is>
      </c>
      <c r="L5" t="n">
        <v>8.94</v>
      </c>
      <c r="M5" t="n">
        <v>0</v>
      </c>
      <c r="N5" t="n">
        <v>7</v>
      </c>
      <c r="O5" t="n">
        <v>2.78</v>
      </c>
      <c r="P5" t="n">
        <v>193</v>
      </c>
      <c r="Q5" t="n">
        <v>22</v>
      </c>
      <c r="R5" t="n">
        <v>0.014</v>
      </c>
      <c r="S5" t="n">
        <v>5.83</v>
      </c>
      <c r="T5" t="n">
        <v>0.658</v>
      </c>
      <c r="U5" t="n">
        <v>205</v>
      </c>
      <c r="V5" t="n">
        <v>342</v>
      </c>
      <c r="W5" t="n">
        <v>26.2</v>
      </c>
      <c r="X5" t="n">
        <v>0.176</v>
      </c>
      <c r="Y5" t="n">
        <v>3.68</v>
      </c>
      <c r="Z5" t="n">
        <v>21.5</v>
      </c>
      <c r="AA5" t="n">
        <v>66</v>
      </c>
      <c r="AB5" t="inlineStr">
        <is>
          <t>no data</t>
        </is>
      </c>
      <c r="AC5" t="n">
        <v>0.043</v>
      </c>
      <c r="AD5" t="n">
        <v>3</v>
      </c>
      <c r="AE5" t="n">
        <v>2.51</v>
      </c>
      <c r="AF5" t="n">
        <v>0.406</v>
      </c>
      <c r="AG5" t="n">
        <v>0</v>
      </c>
      <c r="AH5" t="n">
        <v>0</v>
      </c>
      <c r="AI5" t="n">
        <v>0.12</v>
      </c>
      <c r="AJ5" t="n">
        <v>1.2</v>
      </c>
      <c r="AK5" t="n">
        <v>6.41</v>
      </c>
    </row>
    <row r="6">
      <c r="A6" t="inlineStr">
        <is>
          <t>Meats</t>
        </is>
      </c>
      <c r="B6" t="inlineStr">
        <is>
          <t>Pork, fresh, loin, center loin (chops), bone-in, separable lean only, cooked, broiled</t>
        </is>
      </c>
      <c r="C6" t="inlineStr">
        <is>
          <t>URMIS #3313, Center loin chops, Centercut pork chops, Centercut pork loin chops</t>
        </is>
      </c>
      <c r="D6" t="n">
        <v>168240</v>
      </c>
      <c r="E6" t="inlineStr">
        <is>
          <t>USDA FoodData Central, SR Legacy</t>
        </is>
      </c>
      <c r="F6" t="inlineStr">
        <is>
          <t>https://api.nal.usda.gov/fdc/v1/food/168240</t>
        </is>
      </c>
      <c r="G6" t="inlineStr">
        <is>
          <t>2019-04-01</t>
        </is>
      </c>
      <c r="H6" t="n">
        <v>23</v>
      </c>
      <c r="I6" t="n">
        <v>0</v>
      </c>
      <c r="J6" t="n">
        <v>76</v>
      </c>
      <c r="K6" t="inlineStr">
        <is>
          <t>no data</t>
        </is>
      </c>
      <c r="L6" t="n">
        <v>7.29</v>
      </c>
      <c r="M6" t="n">
        <v>0</v>
      </c>
      <c r="N6" t="n">
        <v>0</v>
      </c>
      <c r="O6" t="n">
        <v>0.8</v>
      </c>
      <c r="P6" t="n">
        <v>180</v>
      </c>
      <c r="Q6" t="n">
        <v>26</v>
      </c>
      <c r="R6" t="n">
        <v>0.008999999999999999</v>
      </c>
      <c r="S6" t="n">
        <v>8.48</v>
      </c>
      <c r="T6" t="n">
        <v>0.672</v>
      </c>
      <c r="U6" t="n">
        <v>228</v>
      </c>
      <c r="V6" t="n">
        <v>356</v>
      </c>
      <c r="W6" t="n">
        <v>26.8</v>
      </c>
      <c r="X6" t="n">
        <v>0.243</v>
      </c>
      <c r="Y6" t="n">
        <v>2.16</v>
      </c>
      <c r="Z6" t="n">
        <v>45.7</v>
      </c>
      <c r="AA6" t="n">
        <v>56</v>
      </c>
      <c r="AB6" t="inlineStr">
        <is>
          <t>no data</t>
        </is>
      </c>
      <c r="AC6" t="n">
        <v>0.624</v>
      </c>
      <c r="AD6" t="n">
        <v>0</v>
      </c>
      <c r="AE6" t="n">
        <v>0.54</v>
      </c>
      <c r="AF6" t="n">
        <v>0.701</v>
      </c>
      <c r="AG6" t="n">
        <v>0</v>
      </c>
      <c r="AH6" t="n">
        <v>0.7</v>
      </c>
      <c r="AI6" t="n">
        <v>0.1</v>
      </c>
      <c r="AJ6" t="n">
        <v>0</v>
      </c>
      <c r="AK6" t="n">
        <v>2.22</v>
      </c>
    </row>
    <row r="7">
      <c r="A7" t="inlineStr">
        <is>
          <t>Meats</t>
        </is>
      </c>
      <c r="B7" t="inlineStr">
        <is>
          <t>Pork, cured, bacon, pre-sliced, cooked, pan-fried</t>
        </is>
      </c>
      <c r="C7" t="inlineStr"/>
      <c r="D7" t="n">
        <v>168322</v>
      </c>
      <c r="E7" t="inlineStr">
        <is>
          <t>USDA FoodData Central, SR Legacy</t>
        </is>
      </c>
      <c r="F7" t="inlineStr">
        <is>
          <t>https://api.nal.usda.gov/fdc/v1/food/168322</t>
        </is>
      </c>
      <c r="G7" t="inlineStr">
        <is>
          <t>2019-04-01</t>
        </is>
      </c>
      <c r="H7" t="n">
        <v>11</v>
      </c>
      <c r="I7" t="n">
        <v>1.7</v>
      </c>
      <c r="J7" t="n">
        <v>89.5</v>
      </c>
      <c r="K7" t="inlineStr">
        <is>
          <t>no data</t>
        </is>
      </c>
      <c r="L7" t="n">
        <v>35.1</v>
      </c>
      <c r="M7" t="n">
        <v>0</v>
      </c>
      <c r="N7" t="n">
        <v>0</v>
      </c>
      <c r="O7" t="n">
        <v>0.95</v>
      </c>
      <c r="P7" t="n">
        <v>468</v>
      </c>
      <c r="Q7" t="n">
        <v>31</v>
      </c>
      <c r="R7" t="n">
        <v>0.022</v>
      </c>
      <c r="S7" t="n">
        <v>10.5</v>
      </c>
      <c r="T7" t="n">
        <v>1.1</v>
      </c>
      <c r="U7" t="n">
        <v>388</v>
      </c>
      <c r="V7" t="n">
        <v>499</v>
      </c>
      <c r="W7" t="n">
        <v>33.9</v>
      </c>
      <c r="X7" t="n">
        <v>0.232</v>
      </c>
      <c r="Y7" t="n">
        <v>12</v>
      </c>
      <c r="Z7" t="n">
        <v>50.7</v>
      </c>
      <c r="AA7" t="n">
        <v>1680</v>
      </c>
      <c r="AB7" t="inlineStr">
        <is>
          <t>no data</t>
        </is>
      </c>
      <c r="AC7" t="n">
        <v>0.5600000000000001</v>
      </c>
      <c r="AD7" t="n">
        <v>11</v>
      </c>
      <c r="AE7" t="n">
        <v>1.09</v>
      </c>
      <c r="AF7" t="n">
        <v>0.535</v>
      </c>
      <c r="AG7" t="n">
        <v>0</v>
      </c>
      <c r="AH7" t="n">
        <v>0.4</v>
      </c>
      <c r="AI7" t="n">
        <v>0.42</v>
      </c>
      <c r="AJ7" t="n">
        <v>0</v>
      </c>
      <c r="AK7" t="n">
        <v>3.06</v>
      </c>
    </row>
    <row r="8">
      <c r="A8" t="inlineStr">
        <is>
          <t>Meats</t>
        </is>
      </c>
      <c r="B8" t="inlineStr">
        <is>
          <t>Turkey, whole, breast, meat only, cooked, roasted</t>
        </is>
      </c>
      <c r="C8" t="inlineStr"/>
      <c r="D8" t="n">
        <v>171496</v>
      </c>
      <c r="E8" t="inlineStr">
        <is>
          <t>USDA FoodData Central, SR Legacy</t>
        </is>
      </c>
      <c r="F8" t="inlineStr">
        <is>
          <t>https://api.nal.usda.gov/fdc/v1/food/171496</t>
        </is>
      </c>
      <c r="G8" t="inlineStr">
        <is>
          <t>2019-04-01</t>
        </is>
      </c>
      <c r="H8" t="n">
        <v>9</v>
      </c>
      <c r="I8" t="n">
        <v>0</v>
      </c>
      <c r="J8" t="n">
        <v>84.40000000000001</v>
      </c>
      <c r="K8" t="inlineStr">
        <is>
          <t>no data</t>
        </is>
      </c>
      <c r="L8" t="n">
        <v>2.08</v>
      </c>
      <c r="M8" t="n">
        <v>0</v>
      </c>
      <c r="N8" t="n">
        <v>9</v>
      </c>
      <c r="O8" t="n">
        <v>0.71</v>
      </c>
      <c r="P8" t="n">
        <v>147</v>
      </c>
      <c r="Q8" t="n">
        <v>32</v>
      </c>
      <c r="R8" t="n">
        <v>0.011</v>
      </c>
      <c r="S8" t="n">
        <v>11.8</v>
      </c>
      <c r="T8" t="n">
        <v>0.9</v>
      </c>
      <c r="U8" t="n">
        <v>230</v>
      </c>
      <c r="V8" t="n">
        <v>249</v>
      </c>
      <c r="W8" t="n">
        <v>30.1</v>
      </c>
      <c r="X8" t="n">
        <v>0.205</v>
      </c>
      <c r="Y8" t="n">
        <v>0.593</v>
      </c>
      <c r="Z8" t="n">
        <v>30.2</v>
      </c>
      <c r="AA8" t="n">
        <v>99</v>
      </c>
      <c r="AB8" t="inlineStr">
        <is>
          <t>no data</t>
        </is>
      </c>
      <c r="AC8" t="n">
        <v>0.035</v>
      </c>
      <c r="AD8" t="n">
        <v>3</v>
      </c>
      <c r="AE8" t="n">
        <v>0.39</v>
      </c>
      <c r="AF8" t="n">
        <v>0.8070000000000001</v>
      </c>
      <c r="AG8" t="n">
        <v>0</v>
      </c>
      <c r="AH8" t="n">
        <v>0.3</v>
      </c>
      <c r="AI8" t="n">
        <v>0.06</v>
      </c>
      <c r="AJ8" t="n">
        <v>0</v>
      </c>
      <c r="AK8" t="n">
        <v>1.72</v>
      </c>
    </row>
    <row r="9">
      <c r="A9" t="inlineStr">
        <is>
          <t>Meats</t>
        </is>
      </c>
      <c r="B9" t="inlineStr">
        <is>
          <t>Turkey, Ground, cooked</t>
        </is>
      </c>
      <c r="C9" t="inlineStr"/>
      <c r="D9" t="n">
        <v>171506</v>
      </c>
      <c r="E9" t="inlineStr">
        <is>
          <t>USDA FoodData Central, SR Legacy</t>
        </is>
      </c>
      <c r="F9" t="inlineStr">
        <is>
          <t>https://api.nal.usda.gov/fdc/v1/food/171506</t>
        </is>
      </c>
      <c r="G9" t="inlineStr">
        <is>
          <t>2019-04-01</t>
        </is>
      </c>
      <c r="H9" t="n">
        <v>28</v>
      </c>
      <c r="I9" t="n">
        <v>0</v>
      </c>
      <c r="J9" t="n">
        <v>78.2</v>
      </c>
      <c r="K9" t="inlineStr">
        <is>
          <t>no data</t>
        </is>
      </c>
      <c r="L9" t="n">
        <v>10.4</v>
      </c>
      <c r="M9" t="n">
        <v>0</v>
      </c>
      <c r="N9" t="n">
        <v>7</v>
      </c>
      <c r="O9" t="n">
        <v>1.52</v>
      </c>
      <c r="P9" t="n">
        <v>203</v>
      </c>
      <c r="Q9" t="n">
        <v>30</v>
      </c>
      <c r="R9" t="n">
        <v>0.011</v>
      </c>
      <c r="S9" t="n">
        <v>8.720000000000001</v>
      </c>
      <c r="T9" t="n">
        <v>1.19</v>
      </c>
      <c r="U9" t="n">
        <v>254</v>
      </c>
      <c r="V9" t="n">
        <v>294</v>
      </c>
      <c r="W9" t="n">
        <v>27.4</v>
      </c>
      <c r="X9" t="n">
        <v>0.211</v>
      </c>
      <c r="Y9" t="n">
        <v>2.67</v>
      </c>
      <c r="Z9" t="n">
        <v>31.1</v>
      </c>
      <c r="AA9" t="n">
        <v>78</v>
      </c>
      <c r="AB9" t="inlineStr">
        <is>
          <t>no data</t>
        </is>
      </c>
      <c r="AC9" t="n">
        <v>0.077</v>
      </c>
      <c r="AD9" t="n">
        <v>24</v>
      </c>
      <c r="AE9" t="n">
        <v>1.34</v>
      </c>
      <c r="AF9" t="n">
        <v>0.633</v>
      </c>
      <c r="AG9" t="n">
        <v>0</v>
      </c>
      <c r="AH9" t="n">
        <v>0.2</v>
      </c>
      <c r="AI9" t="n">
        <v>0.11</v>
      </c>
      <c r="AJ9" t="n">
        <v>0</v>
      </c>
      <c r="AK9" t="n">
        <v>3.11</v>
      </c>
    </row>
    <row r="10">
      <c r="A10" t="inlineStr">
        <is>
          <t>Meats</t>
        </is>
      </c>
      <c r="B10" t="inlineStr">
        <is>
          <t>Lamb, loin, separable lean only, trimmed to 1/4" fat, choice, cooked, broiled</t>
        </is>
      </c>
      <c r="C10" t="inlineStr"/>
      <c r="D10" t="n">
        <v>172492</v>
      </c>
      <c r="E10" t="inlineStr">
        <is>
          <t>USDA FoodData Central, SR Legacy</t>
        </is>
      </c>
      <c r="F10" t="inlineStr">
        <is>
          <t>https://api.nal.usda.gov/fdc/v1/food/172492</t>
        </is>
      </c>
      <c r="G10" t="inlineStr">
        <is>
          <t>2019-04-01</t>
        </is>
      </c>
      <c r="H10" t="n">
        <v>19</v>
      </c>
      <c r="I10" t="n">
        <v>0</v>
      </c>
      <c r="J10" t="n">
        <v>108</v>
      </c>
      <c r="K10" t="inlineStr">
        <is>
          <t>no data</t>
        </is>
      </c>
      <c r="L10" t="n">
        <v>9.73</v>
      </c>
      <c r="M10" t="n">
        <v>0</v>
      </c>
      <c r="N10" t="n">
        <v>24</v>
      </c>
      <c r="O10" t="n">
        <v>2</v>
      </c>
      <c r="P10" t="n">
        <v>216</v>
      </c>
      <c r="Q10" t="n">
        <v>28</v>
      </c>
      <c r="R10" t="n">
        <v>0.028</v>
      </c>
      <c r="S10" t="n">
        <v>6.85</v>
      </c>
      <c r="T10" t="n">
        <v>0.66</v>
      </c>
      <c r="U10" t="n">
        <v>226</v>
      </c>
      <c r="V10" t="n">
        <v>376</v>
      </c>
      <c r="W10" t="n">
        <v>30</v>
      </c>
      <c r="X10" t="n">
        <v>0.28</v>
      </c>
      <c r="Y10" t="n">
        <v>3.48</v>
      </c>
      <c r="Z10" t="n">
        <v>32.8</v>
      </c>
      <c r="AA10" t="n">
        <v>84</v>
      </c>
      <c r="AB10" t="inlineStr">
        <is>
          <t>no data</t>
        </is>
      </c>
      <c r="AC10" t="n">
        <v>0.11</v>
      </c>
      <c r="AD10" t="n">
        <v>0</v>
      </c>
      <c r="AE10" t="n">
        <v>2.52</v>
      </c>
      <c r="AF10" t="n">
        <v>0.16</v>
      </c>
      <c r="AG10" t="n">
        <v>0</v>
      </c>
      <c r="AH10" t="n">
        <v>0.1</v>
      </c>
      <c r="AI10" t="n">
        <v>0.16</v>
      </c>
      <c r="AJ10" t="n">
        <v>3.9</v>
      </c>
      <c r="AK10" t="n">
        <v>4.13</v>
      </c>
    </row>
    <row r="11">
      <c r="A11" t="inlineStr">
        <is>
          <t>Meats</t>
        </is>
      </c>
      <c r="B11" t="inlineStr">
        <is>
          <t>Fish, salmon, Atlantic, wild, cooked, dry heat</t>
        </is>
      </c>
      <c r="C11" t="inlineStr"/>
      <c r="D11" t="n">
        <v>171998</v>
      </c>
      <c r="E11" t="inlineStr">
        <is>
          <t>USDA FoodData Central, SR Legacy</t>
        </is>
      </c>
      <c r="F11" t="inlineStr">
        <is>
          <t>https://api.nal.usda.gov/fdc/v1/food/171998</t>
        </is>
      </c>
      <c r="G11" t="inlineStr">
        <is>
          <t>2019-04-01</t>
        </is>
      </c>
      <c r="H11" t="n">
        <v>15</v>
      </c>
      <c r="I11" t="n">
        <v>0</v>
      </c>
      <c r="J11" t="inlineStr">
        <is>
          <t>no data</t>
        </is>
      </c>
      <c r="K11" t="inlineStr">
        <is>
          <t>no data</t>
        </is>
      </c>
      <c r="L11" t="n">
        <v>8.130000000000001</v>
      </c>
      <c r="M11" t="n">
        <v>0</v>
      </c>
      <c r="N11" t="n">
        <v>29</v>
      </c>
      <c r="O11" t="n">
        <v>1.03</v>
      </c>
      <c r="P11" t="n">
        <v>182</v>
      </c>
      <c r="Q11" t="n">
        <v>37</v>
      </c>
      <c r="R11" t="n">
        <v>0.021</v>
      </c>
      <c r="S11" t="n">
        <v>10.1</v>
      </c>
      <c r="T11" t="n">
        <v>1.92</v>
      </c>
      <c r="U11" t="n">
        <v>256</v>
      </c>
      <c r="V11" t="n">
        <v>628</v>
      </c>
      <c r="W11" t="n">
        <v>25.4</v>
      </c>
      <c r="X11" t="n">
        <v>0.487</v>
      </c>
      <c r="Y11" t="n">
        <v>1.26</v>
      </c>
      <c r="Z11" t="n">
        <v>46.8</v>
      </c>
      <c r="AA11" t="n">
        <v>56</v>
      </c>
      <c r="AB11" t="inlineStr">
        <is>
          <t>no data</t>
        </is>
      </c>
      <c r="AC11" t="n">
        <v>0.275</v>
      </c>
      <c r="AD11" t="n">
        <v>13</v>
      </c>
      <c r="AE11" t="n">
        <v>3.05</v>
      </c>
      <c r="AF11" t="n">
        <v>0.944</v>
      </c>
      <c r="AG11" t="n">
        <v>0</v>
      </c>
      <c r="AH11" t="inlineStr">
        <is>
          <t>no data</t>
        </is>
      </c>
      <c r="AI11" t="inlineStr">
        <is>
          <t>no data</t>
        </is>
      </c>
      <c r="AJ11" t="inlineStr">
        <is>
          <t>no data</t>
        </is>
      </c>
      <c r="AK11" t="n">
        <v>0.82</v>
      </c>
    </row>
    <row r="12">
      <c r="A12" t="inlineStr">
        <is>
          <t>Meats</t>
        </is>
      </c>
      <c r="B12" t="inlineStr">
        <is>
          <t>Fish, tuna, yellowfin, fresh, cooked, dry heat</t>
        </is>
      </c>
      <c r="C12" t="inlineStr"/>
      <c r="D12" t="n">
        <v>172006</v>
      </c>
      <c r="E12" t="inlineStr">
        <is>
          <t>USDA FoodData Central, SR Legacy</t>
        </is>
      </c>
      <c r="F12" t="inlineStr">
        <is>
          <t>https://api.nal.usda.gov/fdc/v1/food/172006</t>
        </is>
      </c>
      <c r="G12" t="inlineStr">
        <is>
          <t>2019-04-01</t>
        </is>
      </c>
      <c r="H12" t="n">
        <v>4</v>
      </c>
      <c r="I12" t="n">
        <v>0</v>
      </c>
      <c r="J12" t="n">
        <v>77.59999999999999</v>
      </c>
      <c r="K12" t="inlineStr">
        <is>
          <t>no data</t>
        </is>
      </c>
      <c r="L12" t="n">
        <v>0.59</v>
      </c>
      <c r="M12" t="n">
        <v>0</v>
      </c>
      <c r="N12" t="n">
        <v>2</v>
      </c>
      <c r="O12" t="n">
        <v>0.92</v>
      </c>
      <c r="P12" t="n">
        <v>130</v>
      </c>
      <c r="Q12" t="n">
        <v>42</v>
      </c>
      <c r="R12" t="n">
        <v>0.013</v>
      </c>
      <c r="S12" t="n">
        <v>22.1</v>
      </c>
      <c r="T12" t="n">
        <v>0.334</v>
      </c>
      <c r="U12" t="n">
        <v>333</v>
      </c>
      <c r="V12" t="n">
        <v>527</v>
      </c>
      <c r="W12" t="n">
        <v>29.2</v>
      </c>
      <c r="X12" t="n">
        <v>0.137</v>
      </c>
      <c r="Y12" t="n">
        <v>0.205</v>
      </c>
      <c r="Z12" t="n">
        <v>108</v>
      </c>
      <c r="AA12" t="n">
        <v>54</v>
      </c>
      <c r="AB12" t="inlineStr">
        <is>
          <t>no data</t>
        </is>
      </c>
      <c r="AC12" t="n">
        <v>0.134</v>
      </c>
      <c r="AD12" t="n">
        <v>22</v>
      </c>
      <c r="AE12" t="n">
        <v>2.35</v>
      </c>
      <c r="AF12" t="n">
        <v>1.04</v>
      </c>
      <c r="AG12" t="n">
        <v>0</v>
      </c>
      <c r="AH12" t="n">
        <v>2</v>
      </c>
      <c r="AI12" t="n">
        <v>0.29</v>
      </c>
      <c r="AJ12" t="n">
        <v>0.1</v>
      </c>
      <c r="AK12" t="n">
        <v>0.45</v>
      </c>
    </row>
    <row r="13">
      <c r="A13" t="inlineStr">
        <is>
          <t>Meats</t>
        </is>
      </c>
      <c r="B13" t="inlineStr">
        <is>
          <t>Crustaceans, shrimp, mixed species, cooked, moist heat (may contain additives to retain moisture)</t>
        </is>
      </c>
      <c r="C13" t="inlineStr"/>
      <c r="D13" t="n">
        <v>171971</v>
      </c>
      <c r="E13" t="inlineStr">
        <is>
          <t>USDA FoodData Central, SR Legacy</t>
        </is>
      </c>
      <c r="F13" t="inlineStr">
        <is>
          <t>https://api.nal.usda.gov/fdc/v1/food/171971</t>
        </is>
      </c>
      <c r="G13" t="inlineStr">
        <is>
          <t>2019-04-01</t>
        </is>
      </c>
      <c r="H13" t="n">
        <v>91</v>
      </c>
      <c r="I13" t="n">
        <v>1.52</v>
      </c>
      <c r="J13" t="n">
        <v>135</v>
      </c>
      <c r="K13" t="inlineStr">
        <is>
          <t>no data</t>
        </is>
      </c>
      <c r="L13" t="n">
        <v>1.7</v>
      </c>
      <c r="M13" t="n">
        <v>0</v>
      </c>
      <c r="N13" t="n">
        <v>24</v>
      </c>
      <c r="O13" t="n">
        <v>0.32</v>
      </c>
      <c r="P13" t="n">
        <v>119</v>
      </c>
      <c r="Q13" t="n">
        <v>37</v>
      </c>
      <c r="R13" t="n">
        <v>0.049</v>
      </c>
      <c r="S13" t="n">
        <v>2.68</v>
      </c>
      <c r="T13" t="n">
        <v>0.519</v>
      </c>
      <c r="U13" t="n">
        <v>306</v>
      </c>
      <c r="V13" t="n">
        <v>170</v>
      </c>
      <c r="W13" t="n">
        <v>22.8</v>
      </c>
      <c r="X13" t="n">
        <v>0.024</v>
      </c>
      <c r="Y13" t="n">
        <v>0.521</v>
      </c>
      <c r="Z13" t="n">
        <v>49.5</v>
      </c>
      <c r="AA13" t="n">
        <v>947</v>
      </c>
      <c r="AB13" t="inlineStr">
        <is>
          <t>no data</t>
        </is>
      </c>
      <c r="AC13" t="n">
        <v>0.032</v>
      </c>
      <c r="AD13" t="n">
        <v>90</v>
      </c>
      <c r="AE13" t="n">
        <v>1.66</v>
      </c>
      <c r="AF13" t="n">
        <v>0.242</v>
      </c>
      <c r="AG13" t="n">
        <v>0</v>
      </c>
      <c r="AH13" t="n">
        <v>0.1</v>
      </c>
      <c r="AI13" t="n">
        <v>2.2</v>
      </c>
      <c r="AJ13" t="n">
        <v>0.4</v>
      </c>
      <c r="AK13" t="n">
        <v>1.63</v>
      </c>
    </row>
    <row r="14">
      <c r="A14" t="inlineStr">
        <is>
          <t>Meats</t>
        </is>
      </c>
      <c r="B14" t="inlineStr">
        <is>
          <t>Fish, cod, Atlantic, cooked, dry heat</t>
        </is>
      </c>
      <c r="C14" t="inlineStr"/>
      <c r="D14" t="n">
        <v>171956</v>
      </c>
      <c r="E14" t="inlineStr">
        <is>
          <t>USDA FoodData Central, SR Legacy</t>
        </is>
      </c>
      <c r="F14" t="inlineStr">
        <is>
          <t>https://api.nal.usda.gov/fdc/v1/food/171956</t>
        </is>
      </c>
      <c r="G14" t="inlineStr">
        <is>
          <t>2019-04-01</t>
        </is>
      </c>
      <c r="H14" t="n">
        <v>14</v>
      </c>
      <c r="I14" t="n">
        <v>0</v>
      </c>
      <c r="J14" t="n">
        <v>83.7</v>
      </c>
      <c r="K14" t="inlineStr">
        <is>
          <t>no data</t>
        </is>
      </c>
      <c r="L14" t="n">
        <v>0.86</v>
      </c>
      <c r="M14" t="n">
        <v>0</v>
      </c>
      <c r="N14" t="n">
        <v>8</v>
      </c>
      <c r="O14" t="n">
        <v>0.49</v>
      </c>
      <c r="P14" t="n">
        <v>105</v>
      </c>
      <c r="Q14" t="n">
        <v>42</v>
      </c>
      <c r="R14" t="n">
        <v>0.02</v>
      </c>
      <c r="S14" t="n">
        <v>2.51</v>
      </c>
      <c r="T14" t="n">
        <v>0.18</v>
      </c>
      <c r="U14" t="n">
        <v>138</v>
      </c>
      <c r="V14" t="n">
        <v>244</v>
      </c>
      <c r="W14" t="n">
        <v>22.8</v>
      </c>
      <c r="X14" t="n">
        <v>0.079</v>
      </c>
      <c r="Y14" t="n">
        <v>0.168</v>
      </c>
      <c r="Z14" t="n">
        <v>37.6</v>
      </c>
      <c r="AA14" t="n">
        <v>78</v>
      </c>
      <c r="AB14" t="inlineStr">
        <is>
          <t>no data</t>
        </is>
      </c>
      <c r="AC14" t="n">
        <v>0.08799999999999999</v>
      </c>
      <c r="AD14" t="n">
        <v>14</v>
      </c>
      <c r="AE14" t="n">
        <v>1.05</v>
      </c>
      <c r="AF14" t="n">
        <v>0.283</v>
      </c>
      <c r="AG14" t="n">
        <v>1</v>
      </c>
      <c r="AH14" t="n">
        <v>1.2</v>
      </c>
      <c r="AI14" t="n">
        <v>0.8100000000000001</v>
      </c>
      <c r="AJ14" t="n">
        <v>0.1</v>
      </c>
      <c r="AK14" t="n">
        <v>0.58</v>
      </c>
    </row>
    <row r="15">
      <c r="A15" t="inlineStr">
        <is>
          <t>Meats</t>
        </is>
      </c>
      <c r="B15" t="inlineStr">
        <is>
          <t>Egg, whole, cooked, hard-boiled</t>
        </is>
      </c>
      <c r="C15" t="inlineStr"/>
      <c r="D15" t="n">
        <v>173424</v>
      </c>
      <c r="E15" t="inlineStr">
        <is>
          <t>USDA FoodData Central, SR Legacy</t>
        </is>
      </c>
      <c r="F15" t="inlineStr">
        <is>
          <t>https://api.nal.usda.gov/fdc/v1/food/173424</t>
        </is>
      </c>
      <c r="G15" t="inlineStr">
        <is>
          <t>2019-04-01</t>
        </is>
      </c>
      <c r="H15" t="n">
        <v>50</v>
      </c>
      <c r="I15" t="n">
        <v>1.12</v>
      </c>
      <c r="J15" t="n">
        <v>294</v>
      </c>
      <c r="K15" t="inlineStr">
        <is>
          <t>no data</t>
        </is>
      </c>
      <c r="L15" t="n">
        <v>10.6</v>
      </c>
      <c r="M15" t="n">
        <v>0</v>
      </c>
      <c r="N15" t="n">
        <v>44</v>
      </c>
      <c r="O15" t="n">
        <v>1.19</v>
      </c>
      <c r="P15" t="n">
        <v>155</v>
      </c>
      <c r="Q15" t="n">
        <v>10</v>
      </c>
      <c r="R15" t="n">
        <v>0.026</v>
      </c>
      <c r="S15" t="n">
        <v>0.064</v>
      </c>
      <c r="T15" t="n">
        <v>1.4</v>
      </c>
      <c r="U15" t="n">
        <v>172</v>
      </c>
      <c r="V15" t="n">
        <v>126</v>
      </c>
      <c r="W15" t="n">
        <v>12.6</v>
      </c>
      <c r="X15" t="n">
        <v>0.513</v>
      </c>
      <c r="Y15" t="n">
        <v>3.27</v>
      </c>
      <c r="Z15" t="n">
        <v>30.8</v>
      </c>
      <c r="AA15" t="n">
        <v>124</v>
      </c>
      <c r="AB15" t="inlineStr">
        <is>
          <t>no data</t>
        </is>
      </c>
      <c r="AC15" t="n">
        <v>0.066</v>
      </c>
      <c r="AD15" t="n">
        <v>149</v>
      </c>
      <c r="AE15" t="n">
        <v>1.11</v>
      </c>
      <c r="AF15" t="n">
        <v>0.121</v>
      </c>
      <c r="AG15" t="n">
        <v>0</v>
      </c>
      <c r="AH15" t="n">
        <v>2.2</v>
      </c>
      <c r="AI15" t="n">
        <v>1.03</v>
      </c>
      <c r="AJ15" t="n">
        <v>0.3</v>
      </c>
      <c r="AK15" t="n">
        <v>1.05</v>
      </c>
    </row>
    <row r="16">
      <c r="A16" t="inlineStr">
        <is>
          <t>Meats</t>
        </is>
      </c>
      <c r="B16" t="inlineStr">
        <is>
          <t>Beef, variety meats and by-products, liver, cooked, pan-fried</t>
        </is>
      </c>
      <c r="C16" t="inlineStr"/>
      <c r="D16" t="n">
        <v>168627</v>
      </c>
      <c r="E16" t="inlineStr">
        <is>
          <t>USDA FoodData Central, SR Legacy</t>
        </is>
      </c>
      <c r="F16" t="inlineStr">
        <is>
          <t>https://api.nal.usda.gov/fdc/v1/food/168627</t>
        </is>
      </c>
      <c r="G16" t="inlineStr">
        <is>
          <t>2019-04-01</t>
        </is>
      </c>
      <c r="H16" t="n">
        <v>6</v>
      </c>
      <c r="I16" t="n">
        <v>5.16</v>
      </c>
      <c r="J16" t="n">
        <v>418</v>
      </c>
      <c r="K16" t="inlineStr">
        <is>
          <t>no data</t>
        </is>
      </c>
      <c r="L16" t="n">
        <v>4.68</v>
      </c>
      <c r="M16" t="n">
        <v>0</v>
      </c>
      <c r="N16" t="n">
        <v>260</v>
      </c>
      <c r="O16" t="n">
        <v>6.17</v>
      </c>
      <c r="P16" t="n">
        <v>175</v>
      </c>
      <c r="Q16" t="n">
        <v>22</v>
      </c>
      <c r="R16" t="n">
        <v>0.356</v>
      </c>
      <c r="S16" t="n">
        <v>17.5</v>
      </c>
      <c r="T16" t="n">
        <v>6.94</v>
      </c>
      <c r="U16" t="n">
        <v>485</v>
      </c>
      <c r="V16" t="n">
        <v>351</v>
      </c>
      <c r="W16" t="n">
        <v>26.5</v>
      </c>
      <c r="X16" t="n">
        <v>3.42</v>
      </c>
      <c r="Y16" t="n">
        <v>2.53</v>
      </c>
      <c r="Z16" t="n">
        <v>32.8</v>
      </c>
      <c r="AA16" t="n">
        <v>77</v>
      </c>
      <c r="AB16" t="inlineStr">
        <is>
          <t>no data</t>
        </is>
      </c>
      <c r="AC16" t="n">
        <v>0.177</v>
      </c>
      <c r="AD16" t="n">
        <v>7740</v>
      </c>
      <c r="AE16" t="n">
        <v>83.09999999999999</v>
      </c>
      <c r="AF16" t="n">
        <v>1.03</v>
      </c>
      <c r="AG16" t="n">
        <v>0.7</v>
      </c>
      <c r="AH16" t="n">
        <v>1.2</v>
      </c>
      <c r="AI16" t="n">
        <v>0.46</v>
      </c>
      <c r="AJ16" t="n">
        <v>3.9</v>
      </c>
      <c r="AK16" t="n">
        <v>5.23</v>
      </c>
    </row>
    <row r="17">
      <c r="A17" t="inlineStr">
        <is>
          <t>Vegetables</t>
        </is>
      </c>
      <c r="B17" t="inlineStr">
        <is>
          <t>Cabbage, chinese (pak-choi), raw</t>
        </is>
      </c>
      <c r="C17" t="inlineStr">
        <is>
          <t>pak choi, bok choy</t>
        </is>
      </c>
      <c r="D17" t="n">
        <v>170390</v>
      </c>
      <c r="E17" t="inlineStr">
        <is>
          <t>USDA FoodData Central, SR Legacy</t>
        </is>
      </c>
      <c r="F17" t="inlineStr">
        <is>
          <t>https://api.nal.usda.gov/fdc/v1/food/170390</t>
        </is>
      </c>
      <c r="G17" t="inlineStr">
        <is>
          <t>2019-04-01</t>
        </is>
      </c>
      <c r="H17" t="n">
        <v>105</v>
      </c>
      <c r="I17" t="n">
        <v>2.18</v>
      </c>
      <c r="J17" t="n">
        <v>6.4</v>
      </c>
      <c r="K17" t="inlineStr">
        <is>
          <t>no data</t>
        </is>
      </c>
      <c r="L17" t="n">
        <v>0.2</v>
      </c>
      <c r="M17" t="n">
        <v>1</v>
      </c>
      <c r="N17" t="n">
        <v>66</v>
      </c>
      <c r="O17" t="n">
        <v>0.8</v>
      </c>
      <c r="P17" t="n">
        <v>13</v>
      </c>
      <c r="Q17" t="n">
        <v>19</v>
      </c>
      <c r="R17" t="n">
        <v>0.159</v>
      </c>
      <c r="S17" t="n">
        <v>0.5</v>
      </c>
      <c r="T17" t="n">
        <v>0.08799999999999999</v>
      </c>
      <c r="U17" t="n">
        <v>37</v>
      </c>
      <c r="V17" t="n">
        <v>252</v>
      </c>
      <c r="W17" t="n">
        <v>1.5</v>
      </c>
      <c r="X17" t="n">
        <v>0.07000000000000001</v>
      </c>
      <c r="Y17" t="n">
        <v>0.027</v>
      </c>
      <c r="Z17" t="n">
        <v>0.5</v>
      </c>
      <c r="AA17" t="n">
        <v>65</v>
      </c>
      <c r="AB17" t="inlineStr">
        <is>
          <t>no data</t>
        </is>
      </c>
      <c r="AC17" t="n">
        <v>0.04</v>
      </c>
      <c r="AD17" t="n">
        <v>223</v>
      </c>
      <c r="AE17" t="n">
        <v>0</v>
      </c>
      <c r="AF17" t="n">
        <v>0.194</v>
      </c>
      <c r="AG17" t="n">
        <v>45</v>
      </c>
      <c r="AH17" t="n">
        <v>0</v>
      </c>
      <c r="AI17" t="n">
        <v>0.09</v>
      </c>
      <c r="AJ17" t="n">
        <v>45.5</v>
      </c>
      <c r="AK17" t="n">
        <v>0.19</v>
      </c>
    </row>
    <row r="18">
      <c r="A18" t="inlineStr">
        <is>
          <t>Vegetables</t>
        </is>
      </c>
      <c r="B18" t="inlineStr">
        <is>
          <t>Cabbage, chinese (pe-tsai), raw</t>
        </is>
      </c>
      <c r="C18" t="inlineStr">
        <is>
          <t>napa cabbage, chinese cabbage, pe-tsai</t>
        </is>
      </c>
      <c r="D18" t="n">
        <v>169979</v>
      </c>
      <c r="E18" t="inlineStr">
        <is>
          <t>USDA FoodData Central, SR Legacy</t>
        </is>
      </c>
      <c r="F18" t="inlineStr">
        <is>
          <t>https://api.nal.usda.gov/fdc/v1/food/169979</t>
        </is>
      </c>
      <c r="G18" t="inlineStr">
        <is>
          <t>2019-04-01</t>
        </is>
      </c>
      <c r="H18" t="n">
        <v>77</v>
      </c>
      <c r="I18" t="n">
        <v>3.23</v>
      </c>
      <c r="J18" t="n">
        <v>7.6</v>
      </c>
      <c r="K18" t="inlineStr">
        <is>
          <t>no data</t>
        </is>
      </c>
      <c r="L18" t="n">
        <v>0.2</v>
      </c>
      <c r="M18" t="n">
        <v>1.2</v>
      </c>
      <c r="N18" t="n">
        <v>79</v>
      </c>
      <c r="O18" t="n">
        <v>0.31</v>
      </c>
      <c r="P18" t="n">
        <v>16</v>
      </c>
      <c r="Q18" t="n">
        <v>13</v>
      </c>
      <c r="R18" t="n">
        <v>0.19</v>
      </c>
      <c r="S18" t="n">
        <v>0.4</v>
      </c>
      <c r="T18" t="n">
        <v>0.105</v>
      </c>
      <c r="U18" t="n">
        <v>29</v>
      </c>
      <c r="V18" t="n">
        <v>238</v>
      </c>
      <c r="W18" t="n">
        <v>1.2</v>
      </c>
      <c r="X18" t="n">
        <v>0.05</v>
      </c>
      <c r="Y18" t="n">
        <v>0.043</v>
      </c>
      <c r="Z18" t="n">
        <v>0.6</v>
      </c>
      <c r="AA18" t="n">
        <v>9</v>
      </c>
      <c r="AB18" t="inlineStr">
        <is>
          <t>no data</t>
        </is>
      </c>
      <c r="AC18" t="n">
        <v>0.04</v>
      </c>
      <c r="AD18" t="n">
        <v>16</v>
      </c>
      <c r="AE18" t="n">
        <v>0</v>
      </c>
      <c r="AF18" t="n">
        <v>0.232</v>
      </c>
      <c r="AG18" t="n">
        <v>27</v>
      </c>
      <c r="AH18" t="n">
        <v>0</v>
      </c>
      <c r="AI18" t="n">
        <v>0.12</v>
      </c>
      <c r="AJ18" t="n">
        <v>42.9</v>
      </c>
      <c r="AK18" t="n">
        <v>0.23</v>
      </c>
    </row>
    <row r="19">
      <c r="A19" t="inlineStr">
        <is>
          <t>Vegetables</t>
        </is>
      </c>
      <c r="B19" t="inlineStr">
        <is>
          <t>Cabbage, raw</t>
        </is>
      </c>
      <c r="C19" t="inlineStr"/>
      <c r="D19" t="n">
        <v>169975</v>
      </c>
      <c r="E19" t="inlineStr">
        <is>
          <t>USDA FoodData Central, SR Legacy</t>
        </is>
      </c>
      <c r="F19" t="inlineStr">
        <is>
          <t>https://api.nal.usda.gov/fdc/v1/food/169975</t>
        </is>
      </c>
      <c r="G19" t="inlineStr">
        <is>
          <t>2019-04-01</t>
        </is>
      </c>
      <c r="H19" t="n">
        <v>40</v>
      </c>
      <c r="I19" t="n">
        <v>5.8</v>
      </c>
      <c r="J19" t="n">
        <v>10.7</v>
      </c>
      <c r="K19" t="inlineStr">
        <is>
          <t>no data</t>
        </is>
      </c>
      <c r="L19" t="n">
        <v>0.1</v>
      </c>
      <c r="M19" t="n">
        <v>2.5</v>
      </c>
      <c r="N19" t="n">
        <v>43</v>
      </c>
      <c r="O19" t="n">
        <v>0.47</v>
      </c>
      <c r="P19" t="n">
        <v>25</v>
      </c>
      <c r="Q19" t="n">
        <v>12</v>
      </c>
      <c r="R19" t="n">
        <v>0.16</v>
      </c>
      <c r="S19" t="n">
        <v>0.234</v>
      </c>
      <c r="T19" t="n">
        <v>0.212</v>
      </c>
      <c r="U19" t="n">
        <v>26</v>
      </c>
      <c r="V19" t="n">
        <v>170</v>
      </c>
      <c r="W19" t="n">
        <v>1.28</v>
      </c>
      <c r="X19" t="n">
        <v>0.04</v>
      </c>
      <c r="Y19" t="n">
        <v>0.034</v>
      </c>
      <c r="Z19" t="n">
        <v>0.3</v>
      </c>
      <c r="AA19" t="n">
        <v>18</v>
      </c>
      <c r="AB19" t="inlineStr">
        <is>
          <t>no data</t>
        </is>
      </c>
      <c r="AC19" t="n">
        <v>0.061</v>
      </c>
      <c r="AD19" t="n">
        <v>5</v>
      </c>
      <c r="AE19" t="n">
        <v>0</v>
      </c>
      <c r="AF19" t="n">
        <v>0.124</v>
      </c>
      <c r="AG19" t="n">
        <v>36.6</v>
      </c>
      <c r="AH19" t="n">
        <v>0</v>
      </c>
      <c r="AI19" t="n">
        <v>0.15</v>
      </c>
      <c r="AJ19" t="n">
        <v>76</v>
      </c>
      <c r="AK19" t="n">
        <v>0.18</v>
      </c>
    </row>
    <row r="20">
      <c r="A20" t="inlineStr">
        <is>
          <t>Vegetables</t>
        </is>
      </c>
      <c r="B20" t="inlineStr">
        <is>
          <t>Broccoli, raw</t>
        </is>
      </c>
      <c r="C20" t="inlineStr"/>
      <c r="D20" t="n">
        <v>170379</v>
      </c>
      <c r="E20" t="inlineStr">
        <is>
          <t>USDA FoodData Central, SR Legacy</t>
        </is>
      </c>
      <c r="F20" t="inlineStr">
        <is>
          <t>https://api.nal.usda.gov/fdc/v1/food/170379</t>
        </is>
      </c>
      <c r="G20" t="inlineStr">
        <is>
          <t>2019-04-01</t>
        </is>
      </c>
      <c r="H20" t="n">
        <v>47</v>
      </c>
      <c r="I20" t="n">
        <v>6.64</v>
      </c>
      <c r="J20" t="n">
        <v>18.7</v>
      </c>
      <c r="K20" t="inlineStr">
        <is>
          <t>no data</t>
        </is>
      </c>
      <c r="L20" t="n">
        <v>0.37</v>
      </c>
      <c r="M20" t="n">
        <v>2.6</v>
      </c>
      <c r="N20" t="n">
        <v>63</v>
      </c>
      <c r="O20" t="n">
        <v>0.73</v>
      </c>
      <c r="P20" t="n">
        <v>34</v>
      </c>
      <c r="Q20" t="n">
        <v>21</v>
      </c>
      <c r="R20" t="n">
        <v>0.21</v>
      </c>
      <c r="S20" t="n">
        <v>0.639</v>
      </c>
      <c r="T20" t="n">
        <v>0.573</v>
      </c>
      <c r="U20" t="n">
        <v>66</v>
      </c>
      <c r="V20" t="n">
        <v>316</v>
      </c>
      <c r="W20" t="n">
        <v>2.82</v>
      </c>
      <c r="X20" t="n">
        <v>0.117</v>
      </c>
      <c r="Y20" t="n">
        <v>0.114</v>
      </c>
      <c r="Z20" t="n">
        <v>2.5</v>
      </c>
      <c r="AA20" t="n">
        <v>33</v>
      </c>
      <c r="AB20" t="inlineStr">
        <is>
          <t>no data</t>
        </is>
      </c>
      <c r="AC20" t="n">
        <v>0.07099999999999999</v>
      </c>
      <c r="AD20" t="n">
        <v>31</v>
      </c>
      <c r="AE20" t="n">
        <v>0</v>
      </c>
      <c r="AF20" t="n">
        <v>0.175</v>
      </c>
      <c r="AG20" t="n">
        <v>89.2</v>
      </c>
      <c r="AH20" t="n">
        <v>0</v>
      </c>
      <c r="AI20" t="n">
        <v>0.78</v>
      </c>
      <c r="AJ20" t="n">
        <v>102</v>
      </c>
      <c r="AK20" t="n">
        <v>0.41</v>
      </c>
    </row>
    <row r="21">
      <c r="A21" t="inlineStr">
        <is>
          <t>Vegetables</t>
        </is>
      </c>
      <c r="B21" t="inlineStr">
        <is>
          <t>Spinach, raw</t>
        </is>
      </c>
      <c r="C21" t="inlineStr"/>
      <c r="D21" t="n">
        <v>168462</v>
      </c>
      <c r="E21" t="inlineStr">
        <is>
          <t>USDA FoodData Central, SR Legacy</t>
        </is>
      </c>
      <c r="F21" t="inlineStr">
        <is>
          <t>https://api.nal.usda.gov/fdc/v1/food/168462</t>
        </is>
      </c>
      <c r="G21" t="inlineStr">
        <is>
          <t>2019-04-01</t>
        </is>
      </c>
      <c r="H21" t="n">
        <v>99</v>
      </c>
      <c r="I21" t="n">
        <v>3.63</v>
      </c>
      <c r="J21" t="n">
        <v>19.3</v>
      </c>
      <c r="K21" t="inlineStr">
        <is>
          <t>no data</t>
        </is>
      </c>
      <c r="L21" t="n">
        <v>0.39</v>
      </c>
      <c r="M21" t="n">
        <v>2.2</v>
      </c>
      <c r="N21" t="n">
        <v>194</v>
      </c>
      <c r="O21" t="n">
        <v>2.71</v>
      </c>
      <c r="P21" t="n">
        <v>23</v>
      </c>
      <c r="Q21" t="n">
        <v>79</v>
      </c>
      <c r="R21" t="n">
        <v>0.897</v>
      </c>
      <c r="S21" t="n">
        <v>0.724</v>
      </c>
      <c r="T21" t="n">
        <v>0.065</v>
      </c>
      <c r="U21" t="n">
        <v>49</v>
      </c>
      <c r="V21" t="n">
        <v>558</v>
      </c>
      <c r="W21" t="n">
        <v>2.86</v>
      </c>
      <c r="X21" t="n">
        <v>0.189</v>
      </c>
      <c r="Y21" t="n">
        <v>0.063</v>
      </c>
      <c r="Z21" t="n">
        <v>1</v>
      </c>
      <c r="AA21" t="n">
        <v>79</v>
      </c>
      <c r="AB21" t="inlineStr">
        <is>
          <t>no data</t>
        </is>
      </c>
      <c r="AC21" t="n">
        <v>0.078</v>
      </c>
      <c r="AD21" t="n">
        <v>469</v>
      </c>
      <c r="AE21" t="n">
        <v>0</v>
      </c>
      <c r="AF21" t="n">
        <v>0.195</v>
      </c>
      <c r="AG21" t="n">
        <v>28.1</v>
      </c>
      <c r="AH21" t="n">
        <v>0</v>
      </c>
      <c r="AI21" t="n">
        <v>2.03</v>
      </c>
      <c r="AJ21" t="n">
        <v>483</v>
      </c>
      <c r="AK21" t="n">
        <v>0.53</v>
      </c>
    </row>
    <row r="22">
      <c r="A22" t="inlineStr">
        <is>
          <t>Vegetables</t>
        </is>
      </c>
      <c r="B22" t="inlineStr">
        <is>
          <t>Kale, raw</t>
        </is>
      </c>
      <c r="C22" t="inlineStr"/>
      <c r="D22" t="n">
        <v>168421</v>
      </c>
      <c r="E22" t="inlineStr">
        <is>
          <t>USDA FoodData Central, SR Legacy</t>
        </is>
      </c>
      <c r="F22" t="inlineStr">
        <is>
          <t>https://api.nal.usda.gov/fdc/v1/food/168421</t>
        </is>
      </c>
      <c r="G22" t="inlineStr">
        <is>
          <t>2019-04-01</t>
        </is>
      </c>
      <c r="H22" t="n">
        <v>254</v>
      </c>
      <c r="I22" t="n">
        <v>4.42</v>
      </c>
      <c r="J22" t="n">
        <v>0.5</v>
      </c>
      <c r="K22" t="inlineStr">
        <is>
          <t>no data</t>
        </is>
      </c>
      <c r="L22" t="n">
        <v>1.49</v>
      </c>
      <c r="M22" t="n">
        <v>4.1</v>
      </c>
      <c r="N22" t="n">
        <v>62</v>
      </c>
      <c r="O22" t="n">
        <v>1.6</v>
      </c>
      <c r="P22" t="n">
        <v>35</v>
      </c>
      <c r="Q22" t="n">
        <v>33</v>
      </c>
      <c r="R22" t="n">
        <v>0.92</v>
      </c>
      <c r="S22" t="n">
        <v>1.18</v>
      </c>
      <c r="T22" t="n">
        <v>0.37</v>
      </c>
      <c r="U22" t="n">
        <v>55</v>
      </c>
      <c r="V22" t="n">
        <v>348</v>
      </c>
      <c r="W22" t="n">
        <v>2.92</v>
      </c>
      <c r="X22" t="n">
        <v>0.347</v>
      </c>
      <c r="Y22" t="n">
        <v>0.178</v>
      </c>
      <c r="Z22" t="n">
        <v>0.9</v>
      </c>
      <c r="AA22" t="n">
        <v>53</v>
      </c>
      <c r="AB22" t="inlineStr">
        <is>
          <t>no data</t>
        </is>
      </c>
      <c r="AC22" t="n">
        <v>0.113</v>
      </c>
      <c r="AD22" t="n">
        <v>241</v>
      </c>
      <c r="AE22" t="n">
        <v>0</v>
      </c>
      <c r="AF22" t="n">
        <v>0.147</v>
      </c>
      <c r="AG22" t="n">
        <v>93.40000000000001</v>
      </c>
      <c r="AH22" t="n">
        <v>0</v>
      </c>
      <c r="AI22" t="n">
        <v>0.66</v>
      </c>
      <c r="AJ22" t="n">
        <v>390</v>
      </c>
      <c r="AK22" t="n">
        <v>0.39</v>
      </c>
    </row>
    <row r="23">
      <c r="A23" t="inlineStr">
        <is>
          <t>Vegetables</t>
        </is>
      </c>
      <c r="B23" t="inlineStr">
        <is>
          <t>Carrots, raw</t>
        </is>
      </c>
      <c r="C23" t="inlineStr"/>
      <c r="D23" t="n">
        <v>170393</v>
      </c>
      <c r="E23" t="inlineStr">
        <is>
          <t>USDA FoodData Central, SR Legacy</t>
        </is>
      </c>
      <c r="F23" t="inlineStr">
        <is>
          <t>https://api.nal.usda.gov/fdc/v1/food/170393</t>
        </is>
      </c>
      <c r="G23" t="inlineStr">
        <is>
          <t>2019-04-01</t>
        </is>
      </c>
      <c r="H23" t="n">
        <v>33</v>
      </c>
      <c r="I23" t="n">
        <v>9.58</v>
      </c>
      <c r="J23" t="n">
        <v>8.800000000000001</v>
      </c>
      <c r="K23" t="inlineStr">
        <is>
          <t>no data</t>
        </is>
      </c>
      <c r="L23" t="n">
        <v>0.24</v>
      </c>
      <c r="M23" t="n">
        <v>2.8</v>
      </c>
      <c r="N23" t="n">
        <v>19</v>
      </c>
      <c r="O23" t="n">
        <v>0.3</v>
      </c>
      <c r="P23" t="n">
        <v>41</v>
      </c>
      <c r="Q23" t="n">
        <v>12</v>
      </c>
      <c r="R23" t="n">
        <v>0.143</v>
      </c>
      <c r="S23" t="n">
        <v>0.983</v>
      </c>
      <c r="T23" t="n">
        <v>0.273</v>
      </c>
      <c r="U23" t="n">
        <v>35</v>
      </c>
      <c r="V23" t="n">
        <v>320</v>
      </c>
      <c r="W23" t="n">
        <v>0.93</v>
      </c>
      <c r="X23" t="n">
        <v>0.058</v>
      </c>
      <c r="Y23" t="n">
        <v>0.032</v>
      </c>
      <c r="Z23" t="n">
        <v>0.1</v>
      </c>
      <c r="AA23" t="n">
        <v>69</v>
      </c>
      <c r="AB23" t="inlineStr">
        <is>
          <t>no data</t>
        </is>
      </c>
      <c r="AC23" t="n">
        <v>0.066</v>
      </c>
      <c r="AD23" t="n">
        <v>835</v>
      </c>
      <c r="AE23" t="n">
        <v>0</v>
      </c>
      <c r="AF23" t="n">
        <v>0.138</v>
      </c>
      <c r="AG23" t="n">
        <v>5.9</v>
      </c>
      <c r="AH23" t="n">
        <v>0</v>
      </c>
      <c r="AI23" t="n">
        <v>0.66</v>
      </c>
      <c r="AJ23" t="n">
        <v>13.2</v>
      </c>
      <c r="AK23" t="n">
        <v>0.24</v>
      </c>
    </row>
    <row r="24">
      <c r="A24" t="inlineStr">
        <is>
          <t>Vegetables</t>
        </is>
      </c>
      <c r="B24" t="inlineStr">
        <is>
          <t>Sweet potato, cooked, baked in skin, flesh, without salt</t>
        </is>
      </c>
      <c r="C24" t="inlineStr">
        <is>
          <t>Sweetpotato</t>
        </is>
      </c>
      <c r="D24" t="n">
        <v>168483</v>
      </c>
      <c r="E24" t="inlineStr">
        <is>
          <t>USDA FoodData Central, SR Legacy</t>
        </is>
      </c>
      <c r="F24" t="inlineStr">
        <is>
          <t>https://api.nal.usda.gov/fdc/v1/food/168483</t>
        </is>
      </c>
      <c r="G24" t="inlineStr">
        <is>
          <t>2019-04-01</t>
        </is>
      </c>
      <c r="H24" t="n">
        <v>38</v>
      </c>
      <c r="I24" t="n">
        <v>20.7</v>
      </c>
      <c r="J24" t="n">
        <v>13.1</v>
      </c>
      <c r="K24" t="inlineStr">
        <is>
          <t>no data</t>
        </is>
      </c>
      <c r="L24" t="n">
        <v>0.15</v>
      </c>
      <c r="M24" t="n">
        <v>3.3</v>
      </c>
      <c r="N24" t="n">
        <v>6</v>
      </c>
      <c r="O24" t="n">
        <v>0.6899999999999999</v>
      </c>
      <c r="P24" t="n">
        <v>90</v>
      </c>
      <c r="Q24" t="n">
        <v>27</v>
      </c>
      <c r="R24" t="n">
        <v>0.497</v>
      </c>
      <c r="S24" t="n">
        <v>1.49</v>
      </c>
      <c r="T24" t="n">
        <v>0.884</v>
      </c>
      <c r="U24" t="n">
        <v>54</v>
      </c>
      <c r="V24" t="n">
        <v>475</v>
      </c>
      <c r="W24" t="n">
        <v>2.01</v>
      </c>
      <c r="X24" t="n">
        <v>0.106</v>
      </c>
      <c r="Y24" t="n">
        <v>0.052</v>
      </c>
      <c r="Z24" t="n">
        <v>0.2</v>
      </c>
      <c r="AA24" t="n">
        <v>36</v>
      </c>
      <c r="AB24" t="inlineStr">
        <is>
          <t>no data</t>
        </is>
      </c>
      <c r="AC24" t="n">
        <v>0.107</v>
      </c>
      <c r="AD24" t="n">
        <v>961</v>
      </c>
      <c r="AE24" t="n">
        <v>0</v>
      </c>
      <c r="AF24" t="n">
        <v>0.286</v>
      </c>
      <c r="AG24" t="n">
        <v>19.6</v>
      </c>
      <c r="AH24" t="n">
        <v>0</v>
      </c>
      <c r="AI24" t="n">
        <v>0.71</v>
      </c>
      <c r="AJ24" t="n">
        <v>2.3</v>
      </c>
      <c r="AK24" t="n">
        <v>0.32</v>
      </c>
    </row>
    <row r="25">
      <c r="A25" t="inlineStr">
        <is>
          <t>Vegetables</t>
        </is>
      </c>
      <c r="B25" t="inlineStr">
        <is>
          <t>Potatoes, baked, flesh and skin, without salt</t>
        </is>
      </c>
      <c r="C25" t="inlineStr"/>
      <c r="D25" t="n">
        <v>170093</v>
      </c>
      <c r="E25" t="inlineStr">
        <is>
          <t>USDA FoodData Central, SR Legacy</t>
        </is>
      </c>
      <c r="F25" t="inlineStr">
        <is>
          <t>https://api.nal.usda.gov/fdc/v1/food/170093</t>
        </is>
      </c>
      <c r="G25" t="inlineStr">
        <is>
          <t>2019-04-01</t>
        </is>
      </c>
      <c r="H25" t="n">
        <v>15</v>
      </c>
      <c r="I25" t="n">
        <v>21.2</v>
      </c>
      <c r="J25" t="n">
        <v>14.8</v>
      </c>
      <c r="K25" t="inlineStr">
        <is>
          <t>no data</t>
        </is>
      </c>
      <c r="L25" t="n">
        <v>0.13</v>
      </c>
      <c r="M25" t="n">
        <v>2.2</v>
      </c>
      <c r="N25" t="n">
        <v>28</v>
      </c>
      <c r="O25" t="n">
        <v>1.08</v>
      </c>
      <c r="P25" t="n">
        <v>93</v>
      </c>
      <c r="Q25" t="n">
        <v>28</v>
      </c>
      <c r="R25" t="n">
        <v>0.219</v>
      </c>
      <c r="S25" t="n">
        <v>1.41</v>
      </c>
      <c r="T25" t="n">
        <v>0.376</v>
      </c>
      <c r="U25" t="n">
        <v>70</v>
      </c>
      <c r="V25" t="n">
        <v>535</v>
      </c>
      <c r="W25" t="n">
        <v>2.5</v>
      </c>
      <c r="X25" t="n">
        <v>0.048</v>
      </c>
      <c r="Y25" t="n">
        <v>0.034</v>
      </c>
      <c r="Z25" t="n">
        <v>0.4</v>
      </c>
      <c r="AA25" t="n">
        <v>10</v>
      </c>
      <c r="AB25" t="inlineStr">
        <is>
          <t>no data</t>
        </is>
      </c>
      <c r="AC25" t="n">
        <v>0.064</v>
      </c>
      <c r="AD25" t="n">
        <v>1</v>
      </c>
      <c r="AE25" t="n">
        <v>0</v>
      </c>
      <c r="AF25" t="n">
        <v>0.311</v>
      </c>
      <c r="AG25" t="n">
        <v>9.6</v>
      </c>
      <c r="AH25" t="n">
        <v>0</v>
      </c>
      <c r="AI25" t="n">
        <v>0.04</v>
      </c>
      <c r="AJ25" t="n">
        <v>2</v>
      </c>
      <c r="AK25" t="n">
        <v>0.36</v>
      </c>
    </row>
    <row r="26">
      <c r="A26" t="inlineStr">
        <is>
          <t>Vegetables</t>
        </is>
      </c>
      <c r="B26" t="inlineStr">
        <is>
          <t>Tomatoes, red, ripe, raw, year round average</t>
        </is>
      </c>
      <c r="C26" t="inlineStr"/>
      <c r="D26" t="n">
        <v>170457</v>
      </c>
      <c r="E26" t="inlineStr">
        <is>
          <t>USDA FoodData Central, SR Legacy</t>
        </is>
      </c>
      <c r="F26" t="inlineStr">
        <is>
          <t>https://api.nal.usda.gov/fdc/v1/food/170457</t>
        </is>
      </c>
      <c r="G26" t="inlineStr">
        <is>
          <t>2019-04-01</t>
        </is>
      </c>
      <c r="H26" t="n">
        <v>10</v>
      </c>
      <c r="I26" t="n">
        <v>3.89</v>
      </c>
      <c r="J26" t="n">
        <v>6.7</v>
      </c>
      <c r="K26" t="inlineStr">
        <is>
          <t>no data</t>
        </is>
      </c>
      <c r="L26" t="n">
        <v>0.2</v>
      </c>
      <c r="M26" t="n">
        <v>1.2</v>
      </c>
      <c r="N26" t="n">
        <v>15</v>
      </c>
      <c r="O26" t="n">
        <v>0.27</v>
      </c>
      <c r="P26" t="n">
        <v>18</v>
      </c>
      <c r="Q26" t="n">
        <v>11</v>
      </c>
      <c r="R26" t="n">
        <v>0.114</v>
      </c>
      <c r="S26" t="n">
        <v>0.594</v>
      </c>
      <c r="T26" t="n">
        <v>0.089</v>
      </c>
      <c r="U26" t="n">
        <v>24</v>
      </c>
      <c r="V26" t="n">
        <v>237</v>
      </c>
      <c r="W26" t="n">
        <v>0.88</v>
      </c>
      <c r="X26" t="n">
        <v>0.019</v>
      </c>
      <c r="Y26" t="n">
        <v>0.028</v>
      </c>
      <c r="Z26" t="n">
        <v>0</v>
      </c>
      <c r="AA26" t="n">
        <v>5</v>
      </c>
      <c r="AB26" t="inlineStr">
        <is>
          <t>no data</t>
        </is>
      </c>
      <c r="AC26" t="n">
        <v>0.037</v>
      </c>
      <c r="AD26" t="n">
        <v>42</v>
      </c>
      <c r="AE26" t="n">
        <v>0</v>
      </c>
      <c r="AF26" t="n">
        <v>0.08</v>
      </c>
      <c r="AG26" t="n">
        <v>13.7</v>
      </c>
      <c r="AH26" t="n">
        <v>0</v>
      </c>
      <c r="AI26" t="n">
        <v>0.54</v>
      </c>
      <c r="AJ26" t="n">
        <v>7.9</v>
      </c>
      <c r="AK26" t="n">
        <v>0.17</v>
      </c>
    </row>
    <row r="27">
      <c r="A27" t="inlineStr">
        <is>
          <t>Vegetables</t>
        </is>
      </c>
      <c r="B27" t="inlineStr">
        <is>
          <t>Cucumber, with peel, raw</t>
        </is>
      </c>
      <c r="C27" t="inlineStr"/>
      <c r="D27" t="n">
        <v>168409</v>
      </c>
      <c r="E27" t="inlineStr">
        <is>
          <t>USDA FoodData Central, SR Legacy</t>
        </is>
      </c>
      <c r="F27" t="inlineStr">
        <is>
          <t>https://api.nal.usda.gov/fdc/v1/food/168409</t>
        </is>
      </c>
      <c r="G27" t="inlineStr">
        <is>
          <t>2019-04-01</t>
        </is>
      </c>
      <c r="H27" t="n">
        <v>16</v>
      </c>
      <c r="I27" t="n">
        <v>3.63</v>
      </c>
      <c r="J27" t="n">
        <v>6</v>
      </c>
      <c r="K27" t="inlineStr">
        <is>
          <t>no data</t>
        </is>
      </c>
      <c r="L27" t="n">
        <v>0.11</v>
      </c>
      <c r="M27" t="n">
        <v>0.5</v>
      </c>
      <c r="N27" t="n">
        <v>7</v>
      </c>
      <c r="O27" t="n">
        <v>0.28</v>
      </c>
      <c r="P27" t="n">
        <v>15</v>
      </c>
      <c r="Q27" t="n">
        <v>13</v>
      </c>
      <c r="R27" t="n">
        <v>0.079</v>
      </c>
      <c r="S27" t="n">
        <v>0.098</v>
      </c>
      <c r="T27" t="n">
        <v>0.259</v>
      </c>
      <c r="U27" t="n">
        <v>24</v>
      </c>
      <c r="V27" t="n">
        <v>147</v>
      </c>
      <c r="W27" t="n">
        <v>0.65</v>
      </c>
      <c r="X27" t="n">
        <v>0.033</v>
      </c>
      <c r="Y27" t="n">
        <v>0.037</v>
      </c>
      <c r="Z27" t="n">
        <v>0.3</v>
      </c>
      <c r="AA27" t="n">
        <v>2</v>
      </c>
      <c r="AB27" t="inlineStr">
        <is>
          <t>no data</t>
        </is>
      </c>
      <c r="AC27" t="n">
        <v>0.027</v>
      </c>
      <c r="AD27" t="n">
        <v>5</v>
      </c>
      <c r="AE27" t="n">
        <v>0</v>
      </c>
      <c r="AF27" t="n">
        <v>0.04</v>
      </c>
      <c r="AG27" t="n">
        <v>2.8</v>
      </c>
      <c r="AH27" t="n">
        <v>0</v>
      </c>
      <c r="AI27" t="n">
        <v>0.03</v>
      </c>
      <c r="AJ27" t="n">
        <v>16.4</v>
      </c>
      <c r="AK27" t="n">
        <v>0.2</v>
      </c>
    </row>
    <row r="28">
      <c r="A28" t="inlineStr">
        <is>
          <t>Vegetables</t>
        </is>
      </c>
      <c r="B28" t="inlineStr">
        <is>
          <t>Peppers, sweet, red, raw</t>
        </is>
      </c>
      <c r="C28" t="inlineStr"/>
      <c r="D28" t="n">
        <v>170108</v>
      </c>
      <c r="E28" t="inlineStr">
        <is>
          <t>USDA FoodData Central, SR Legacy</t>
        </is>
      </c>
      <c r="F28" t="inlineStr">
        <is>
          <t>https://api.nal.usda.gov/fdc/v1/food/170108</t>
        </is>
      </c>
      <c r="G28" t="inlineStr">
        <is>
          <t>2019-04-01</t>
        </is>
      </c>
      <c r="H28" t="n">
        <v>7</v>
      </c>
      <c r="I28" t="n">
        <v>6.03</v>
      </c>
      <c r="J28" t="n">
        <v>5.6</v>
      </c>
      <c r="K28" t="inlineStr">
        <is>
          <t>no data</t>
        </is>
      </c>
      <c r="L28" t="n">
        <v>0.3</v>
      </c>
      <c r="M28" t="n">
        <v>2.1</v>
      </c>
      <c r="N28" t="n">
        <v>46</v>
      </c>
      <c r="O28" t="n">
        <v>0.43</v>
      </c>
      <c r="P28" t="n">
        <v>26</v>
      </c>
      <c r="Q28" t="n">
        <v>12</v>
      </c>
      <c r="R28" t="n">
        <v>0.112</v>
      </c>
      <c r="S28" t="n">
        <v>0.979</v>
      </c>
      <c r="T28" t="n">
        <v>0.317</v>
      </c>
      <c r="U28" t="n">
        <v>26</v>
      </c>
      <c r="V28" t="n">
        <v>211</v>
      </c>
      <c r="W28" t="n">
        <v>0.99</v>
      </c>
      <c r="X28" t="n">
        <v>0.08500000000000001</v>
      </c>
      <c r="Y28" t="n">
        <v>0.059</v>
      </c>
      <c r="Z28" t="n">
        <v>0.1</v>
      </c>
      <c r="AA28" t="n">
        <v>4</v>
      </c>
      <c r="AB28" t="inlineStr">
        <is>
          <t>no data</t>
        </is>
      </c>
      <c r="AC28" t="n">
        <v>0.054</v>
      </c>
      <c r="AD28" t="n">
        <v>157</v>
      </c>
      <c r="AE28" t="n">
        <v>0</v>
      </c>
      <c r="AF28" t="n">
        <v>0.291</v>
      </c>
      <c r="AG28" t="n">
        <v>128</v>
      </c>
      <c r="AH28" t="n">
        <v>0</v>
      </c>
      <c r="AI28" t="n">
        <v>1.58</v>
      </c>
      <c r="AJ28" t="n">
        <v>4.9</v>
      </c>
      <c r="AK28" t="n">
        <v>0.25</v>
      </c>
    </row>
    <row r="29">
      <c r="A29" t="inlineStr">
        <is>
          <t>Vegetables</t>
        </is>
      </c>
      <c r="B29" t="inlineStr">
        <is>
          <t>Onions, raw</t>
        </is>
      </c>
      <c r="C29" t="inlineStr"/>
      <c r="D29" t="n">
        <v>170000</v>
      </c>
      <c r="E29" t="inlineStr">
        <is>
          <t>USDA FoodData Central, SR Legacy</t>
        </is>
      </c>
      <c r="F29" t="inlineStr">
        <is>
          <t>https://api.nal.usda.gov/fdc/v1/food/170000</t>
        </is>
      </c>
      <c r="G29" t="inlineStr">
        <is>
          <t>2019-04-01</t>
        </is>
      </c>
      <c r="H29" t="n">
        <v>23</v>
      </c>
      <c r="I29" t="n">
        <v>9.34</v>
      </c>
      <c r="J29" t="n">
        <v>6.1</v>
      </c>
      <c r="K29" t="inlineStr">
        <is>
          <t>no data</t>
        </is>
      </c>
      <c r="L29" t="n">
        <v>0.1</v>
      </c>
      <c r="M29" t="n">
        <v>1.7</v>
      </c>
      <c r="N29" t="n">
        <v>19</v>
      </c>
      <c r="O29" t="n">
        <v>0.21</v>
      </c>
      <c r="P29" t="n">
        <v>40</v>
      </c>
      <c r="Q29" t="n">
        <v>10</v>
      </c>
      <c r="R29" t="n">
        <v>0.129</v>
      </c>
      <c r="S29" t="n">
        <v>0.116</v>
      </c>
      <c r="T29" t="n">
        <v>0.123</v>
      </c>
      <c r="U29" t="n">
        <v>29</v>
      </c>
      <c r="V29" t="n">
        <v>146</v>
      </c>
      <c r="W29" t="n">
        <v>1.1</v>
      </c>
      <c r="X29" t="n">
        <v>0.027</v>
      </c>
      <c r="Y29" t="n">
        <v>0.042</v>
      </c>
      <c r="Z29" t="n">
        <v>0.5</v>
      </c>
      <c r="AA29" t="n">
        <v>4</v>
      </c>
      <c r="AB29" t="inlineStr">
        <is>
          <t>no data</t>
        </is>
      </c>
      <c r="AC29" t="n">
        <v>0.046</v>
      </c>
      <c r="AD29" t="n">
        <v>0</v>
      </c>
      <c r="AE29" t="n">
        <v>0</v>
      </c>
      <c r="AF29" t="n">
        <v>0.12</v>
      </c>
      <c r="AG29" t="n">
        <v>7.4</v>
      </c>
      <c r="AH29" t="n">
        <v>0</v>
      </c>
      <c r="AI29" t="n">
        <v>0.02</v>
      </c>
      <c r="AJ29" t="n">
        <v>0.4</v>
      </c>
      <c r="AK29" t="n">
        <v>0.17</v>
      </c>
    </row>
    <row r="30">
      <c r="A30" t="inlineStr">
        <is>
          <t>Vegetables</t>
        </is>
      </c>
      <c r="B30" t="inlineStr">
        <is>
          <t>Garlic, raw</t>
        </is>
      </c>
      <c r="C30" t="inlineStr"/>
      <c r="D30" t="n">
        <v>169230</v>
      </c>
      <c r="E30" t="inlineStr">
        <is>
          <t>USDA FoodData Central, SR Legacy</t>
        </is>
      </c>
      <c r="F30" t="inlineStr">
        <is>
          <t>https://api.nal.usda.gov/fdc/v1/food/169230</t>
        </is>
      </c>
      <c r="G30" t="inlineStr">
        <is>
          <t>2019-04-01</t>
        </is>
      </c>
      <c r="H30" t="n">
        <v>181</v>
      </c>
      <c r="I30" t="n">
        <v>33.1</v>
      </c>
      <c r="J30" t="n">
        <v>23.2</v>
      </c>
      <c r="K30" t="inlineStr">
        <is>
          <t>no data</t>
        </is>
      </c>
      <c r="L30" t="n">
        <v>0.5</v>
      </c>
      <c r="M30" t="n">
        <v>2.1</v>
      </c>
      <c r="N30" t="n">
        <v>3</v>
      </c>
      <c r="O30" t="n">
        <v>1.7</v>
      </c>
      <c r="P30" t="n">
        <v>149</v>
      </c>
      <c r="Q30" t="n">
        <v>25</v>
      </c>
      <c r="R30" t="n">
        <v>1.67</v>
      </c>
      <c r="S30" t="n">
        <v>0.7</v>
      </c>
      <c r="T30" t="n">
        <v>0.596</v>
      </c>
      <c r="U30" t="n">
        <v>153</v>
      </c>
      <c r="V30" t="n">
        <v>401</v>
      </c>
      <c r="W30" t="n">
        <v>6.36</v>
      </c>
      <c r="X30" t="n">
        <v>0.11</v>
      </c>
      <c r="Y30" t="n">
        <v>0.089</v>
      </c>
      <c r="Z30" t="n">
        <v>14.2</v>
      </c>
      <c r="AA30" t="n">
        <v>17</v>
      </c>
      <c r="AB30" t="inlineStr">
        <is>
          <t>no data</t>
        </is>
      </c>
      <c r="AC30" t="n">
        <v>0.2</v>
      </c>
      <c r="AD30" t="n">
        <v>0</v>
      </c>
      <c r="AE30" t="n">
        <v>0</v>
      </c>
      <c r="AF30" t="n">
        <v>1.24</v>
      </c>
      <c r="AG30" t="n">
        <v>31.2</v>
      </c>
      <c r="AH30" t="n">
        <v>0</v>
      </c>
      <c r="AI30" t="n">
        <v>0.08</v>
      </c>
      <c r="AJ30" t="n">
        <v>1.7</v>
      </c>
      <c r="AK30" t="n">
        <v>1.16</v>
      </c>
    </row>
    <row r="31">
      <c r="A31" t="inlineStr">
        <is>
          <t>Vegetables</t>
        </is>
      </c>
      <c r="B31" t="inlineStr">
        <is>
          <t>Beans, snap, green, cooked, boiled, drained, without salt</t>
        </is>
      </c>
      <c r="C31" t="inlineStr"/>
      <c r="D31" t="n">
        <v>169141</v>
      </c>
      <c r="E31" t="inlineStr">
        <is>
          <t>USDA FoodData Central, SR Legacy</t>
        </is>
      </c>
      <c r="F31" t="inlineStr">
        <is>
          <t>https://api.nal.usda.gov/fdc/v1/food/169141</t>
        </is>
      </c>
      <c r="G31" t="inlineStr">
        <is>
          <t>2019-04-01</t>
        </is>
      </c>
      <c r="H31" t="n">
        <v>44</v>
      </c>
      <c r="I31" t="n">
        <v>7.88</v>
      </c>
      <c r="J31" t="n">
        <v>16.9</v>
      </c>
      <c r="K31" t="inlineStr">
        <is>
          <t>no data</t>
        </is>
      </c>
      <c r="L31" t="n">
        <v>0.28</v>
      </c>
      <c r="M31" t="n">
        <v>3.2</v>
      </c>
      <c r="N31" t="n">
        <v>33</v>
      </c>
      <c r="O31" t="n">
        <v>0.65</v>
      </c>
      <c r="P31" t="n">
        <v>35</v>
      </c>
      <c r="Q31" t="n">
        <v>18</v>
      </c>
      <c r="R31" t="n">
        <v>0.285</v>
      </c>
      <c r="S31" t="n">
        <v>0.614</v>
      </c>
      <c r="T31" t="n">
        <v>0.074</v>
      </c>
      <c r="U31" t="n">
        <v>29</v>
      </c>
      <c r="V31" t="n">
        <v>146</v>
      </c>
      <c r="W31" t="n">
        <v>1.89</v>
      </c>
      <c r="X31" t="n">
        <v>0.097</v>
      </c>
      <c r="Y31" t="n">
        <v>0.064</v>
      </c>
      <c r="Z31" t="n">
        <v>0.2</v>
      </c>
      <c r="AA31" t="n">
        <v>1</v>
      </c>
      <c r="AB31" t="inlineStr">
        <is>
          <t>no data</t>
        </is>
      </c>
      <c r="AC31" t="n">
        <v>0.074</v>
      </c>
      <c r="AD31" t="n">
        <v>32</v>
      </c>
      <c r="AE31" t="n">
        <v>0</v>
      </c>
      <c r="AF31" t="n">
        <v>0.056</v>
      </c>
      <c r="AG31" t="n">
        <v>9.699999999999999</v>
      </c>
      <c r="AH31" t="n">
        <v>0</v>
      </c>
      <c r="AI31" t="n">
        <v>0.46</v>
      </c>
      <c r="AJ31" t="n">
        <v>47.9</v>
      </c>
      <c r="AK31" t="n">
        <v>0.25</v>
      </c>
    </row>
    <row r="32">
      <c r="A32" t="inlineStr">
        <is>
          <t>Vegetables</t>
        </is>
      </c>
      <c r="B32" t="inlineStr">
        <is>
          <t>Squash, summer, zucchini, includes skin, raw</t>
        </is>
      </c>
      <c r="C32" t="inlineStr"/>
      <c r="D32" t="n">
        <v>169291</v>
      </c>
      <c r="E32" t="inlineStr">
        <is>
          <t>USDA FoodData Central, SR Legacy</t>
        </is>
      </c>
      <c r="F32" t="inlineStr">
        <is>
          <t>https://api.nal.usda.gov/fdc/v1/food/169291</t>
        </is>
      </c>
      <c r="G32" t="inlineStr">
        <is>
          <t>2019-04-01</t>
        </is>
      </c>
      <c r="H32" t="n">
        <v>16</v>
      </c>
      <c r="I32" t="n">
        <v>3.11</v>
      </c>
      <c r="J32" t="n">
        <v>9.5</v>
      </c>
      <c r="K32" t="inlineStr">
        <is>
          <t>no data</t>
        </is>
      </c>
      <c r="L32" t="n">
        <v>0.32</v>
      </c>
      <c r="M32" t="n">
        <v>1</v>
      </c>
      <c r="N32" t="n">
        <v>24</v>
      </c>
      <c r="O32" t="n">
        <v>0.37</v>
      </c>
      <c r="P32" t="n">
        <v>17</v>
      </c>
      <c r="Q32" t="n">
        <v>18</v>
      </c>
      <c r="R32" t="n">
        <v>0.177</v>
      </c>
      <c r="S32" t="n">
        <v>0.451</v>
      </c>
      <c r="T32" t="n">
        <v>0.204</v>
      </c>
      <c r="U32" t="n">
        <v>38</v>
      </c>
      <c r="V32" t="n">
        <v>261</v>
      </c>
      <c r="W32" t="n">
        <v>1.21</v>
      </c>
      <c r="X32" t="n">
        <v>0.094</v>
      </c>
      <c r="Y32" t="n">
        <v>0.08400000000000001</v>
      </c>
      <c r="Z32" t="n">
        <v>0.2</v>
      </c>
      <c r="AA32" t="n">
        <v>8</v>
      </c>
      <c r="AB32" t="inlineStr">
        <is>
          <t>no data</t>
        </is>
      </c>
      <c r="AC32" t="n">
        <v>0.045</v>
      </c>
      <c r="AD32" t="n">
        <v>10</v>
      </c>
      <c r="AE32" t="n">
        <v>0</v>
      </c>
      <c r="AF32" t="n">
        <v>0.163</v>
      </c>
      <c r="AG32" t="n">
        <v>17.9</v>
      </c>
      <c r="AH32" t="n">
        <v>0</v>
      </c>
      <c r="AI32" t="n">
        <v>0.12</v>
      </c>
      <c r="AJ32" t="n">
        <v>4.3</v>
      </c>
      <c r="AK32" t="n">
        <v>0.32</v>
      </c>
    </row>
    <row r="33">
      <c r="A33" t="inlineStr">
        <is>
          <t>Vegetables</t>
        </is>
      </c>
      <c r="B33" t="inlineStr">
        <is>
          <t>Cauliflower, raw</t>
        </is>
      </c>
      <c r="C33" t="inlineStr"/>
      <c r="D33" t="n">
        <v>169986</v>
      </c>
      <c r="E33" t="inlineStr">
        <is>
          <t>USDA FoodData Central, SR Legacy</t>
        </is>
      </c>
      <c r="F33" t="inlineStr">
        <is>
          <t>https://api.nal.usda.gov/fdc/v1/food/169986</t>
        </is>
      </c>
      <c r="G33" t="inlineStr">
        <is>
          <t>2019-04-01</t>
        </is>
      </c>
      <c r="H33" t="n">
        <v>22</v>
      </c>
      <c r="I33" t="n">
        <v>4.97</v>
      </c>
      <c r="J33" t="n">
        <v>44.3</v>
      </c>
      <c r="K33" t="inlineStr">
        <is>
          <t>no data</t>
        </is>
      </c>
      <c r="L33" t="n">
        <v>0.28</v>
      </c>
      <c r="M33" t="n">
        <v>2</v>
      </c>
      <c r="N33" t="n">
        <v>57</v>
      </c>
      <c r="O33" t="n">
        <v>0.42</v>
      </c>
      <c r="P33" t="n">
        <v>25</v>
      </c>
      <c r="Q33" t="n">
        <v>15</v>
      </c>
      <c r="R33" t="n">
        <v>0.155</v>
      </c>
      <c r="S33" t="n">
        <v>0.507</v>
      </c>
      <c r="T33" t="n">
        <v>0.667</v>
      </c>
      <c r="U33" t="n">
        <v>44</v>
      </c>
      <c r="V33" t="n">
        <v>299</v>
      </c>
      <c r="W33" t="n">
        <v>1.92</v>
      </c>
      <c r="X33" t="n">
        <v>0.06</v>
      </c>
      <c r="Y33" t="n">
        <v>0.13</v>
      </c>
      <c r="Z33" t="n">
        <v>0.6</v>
      </c>
      <c r="AA33" t="n">
        <v>30</v>
      </c>
      <c r="AB33" t="inlineStr">
        <is>
          <t>no data</t>
        </is>
      </c>
      <c r="AC33" t="n">
        <v>0.05</v>
      </c>
      <c r="AD33" t="n">
        <v>0</v>
      </c>
      <c r="AE33" t="n">
        <v>0</v>
      </c>
      <c r="AF33" t="n">
        <v>0.184</v>
      </c>
      <c r="AG33" t="n">
        <v>48.2</v>
      </c>
      <c r="AH33" t="n">
        <v>0</v>
      </c>
      <c r="AI33" t="n">
        <v>0.08</v>
      </c>
      <c r="AJ33" t="n">
        <v>15.5</v>
      </c>
      <c r="AK33" t="n">
        <v>0.27</v>
      </c>
    </row>
    <row r="34">
      <c r="A34" t="inlineStr">
        <is>
          <t>Vegetables</t>
        </is>
      </c>
      <c r="B34" t="inlineStr">
        <is>
          <t>Brussels sprouts, cooked, boiled, drained, without salt</t>
        </is>
      </c>
      <c r="C34" t="inlineStr"/>
      <c r="D34" t="n">
        <v>169971</v>
      </c>
      <c r="E34" t="inlineStr">
        <is>
          <t>USDA FoodData Central, SR Legacy</t>
        </is>
      </c>
      <c r="F34" t="inlineStr">
        <is>
          <t>https://api.nal.usda.gov/fdc/v1/food/169971</t>
        </is>
      </c>
      <c r="G34" t="inlineStr">
        <is>
          <t>2019-04-01</t>
        </is>
      </c>
      <c r="H34" t="n">
        <v>36</v>
      </c>
      <c r="I34" t="n">
        <v>7.1</v>
      </c>
      <c r="J34" t="n">
        <v>40.6</v>
      </c>
      <c r="K34" t="inlineStr">
        <is>
          <t>no data</t>
        </is>
      </c>
      <c r="L34" t="n">
        <v>0.5</v>
      </c>
      <c r="M34" t="n">
        <v>2.6</v>
      </c>
      <c r="N34" t="n">
        <v>60</v>
      </c>
      <c r="O34" t="n">
        <v>1.2</v>
      </c>
      <c r="P34" t="n">
        <v>36</v>
      </c>
      <c r="Q34" t="n">
        <v>20</v>
      </c>
      <c r="R34" t="n">
        <v>0.227</v>
      </c>
      <c r="S34" t="n">
        <v>0.607</v>
      </c>
      <c r="T34" t="n">
        <v>0.252</v>
      </c>
      <c r="U34" t="n">
        <v>56</v>
      </c>
      <c r="V34" t="n">
        <v>317</v>
      </c>
      <c r="W34" t="n">
        <v>2.55</v>
      </c>
      <c r="X34" t="n">
        <v>0.08</v>
      </c>
      <c r="Y34" t="n">
        <v>0.102</v>
      </c>
      <c r="Z34" t="n">
        <v>1.5</v>
      </c>
      <c r="AA34" t="n">
        <v>21</v>
      </c>
      <c r="AB34" t="inlineStr">
        <is>
          <t>no data</t>
        </is>
      </c>
      <c r="AC34" t="n">
        <v>0.107</v>
      </c>
      <c r="AD34" t="n">
        <v>39</v>
      </c>
      <c r="AE34" t="n">
        <v>0</v>
      </c>
      <c r="AF34" t="n">
        <v>0.178</v>
      </c>
      <c r="AG34" t="n">
        <v>62</v>
      </c>
      <c r="AH34" t="n">
        <v>0</v>
      </c>
      <c r="AI34" t="n">
        <v>0.43</v>
      </c>
      <c r="AJ34" t="n">
        <v>140</v>
      </c>
      <c r="AK34" t="n">
        <v>0.33</v>
      </c>
    </row>
    <row r="35">
      <c r="A35" t="inlineStr">
        <is>
          <t>Vegetables</t>
        </is>
      </c>
      <c r="B35" t="inlineStr">
        <is>
          <t>Asparagus, cooked, boiled, drained</t>
        </is>
      </c>
      <c r="C35" t="inlineStr"/>
      <c r="D35" t="n">
        <v>168390</v>
      </c>
      <c r="E35" t="inlineStr">
        <is>
          <t>USDA FoodData Central, SR Legacy</t>
        </is>
      </c>
      <c r="F35" t="inlineStr">
        <is>
          <t>https://api.nal.usda.gov/fdc/v1/food/168390</t>
        </is>
      </c>
      <c r="G35" t="inlineStr">
        <is>
          <t>2019-04-01</t>
        </is>
      </c>
      <c r="H35" t="n">
        <v>23</v>
      </c>
      <c r="I35" t="n">
        <v>4.11</v>
      </c>
      <c r="J35" t="n">
        <v>26.1</v>
      </c>
      <c r="K35" t="inlineStr">
        <is>
          <t>no data</t>
        </is>
      </c>
      <c r="L35" t="n">
        <v>0.22</v>
      </c>
      <c r="M35" t="n">
        <v>2</v>
      </c>
      <c r="N35" t="n">
        <v>149</v>
      </c>
      <c r="O35" t="n">
        <v>0.91</v>
      </c>
      <c r="P35" t="n">
        <v>22</v>
      </c>
      <c r="Q35" t="n">
        <v>14</v>
      </c>
      <c r="R35" t="n">
        <v>0.154</v>
      </c>
      <c r="S35" t="n">
        <v>1.08</v>
      </c>
      <c r="T35" t="n">
        <v>0.225</v>
      </c>
      <c r="U35" t="n">
        <v>54</v>
      </c>
      <c r="V35" t="n">
        <v>224</v>
      </c>
      <c r="W35" t="n">
        <v>2.4</v>
      </c>
      <c r="X35" t="n">
        <v>0.139</v>
      </c>
      <c r="Y35" t="n">
        <v>0.048</v>
      </c>
      <c r="Z35" t="n">
        <v>6.1</v>
      </c>
      <c r="AA35" t="n">
        <v>14</v>
      </c>
      <c r="AB35" t="inlineStr">
        <is>
          <t>no data</t>
        </is>
      </c>
      <c r="AC35" t="n">
        <v>0.162</v>
      </c>
      <c r="AD35" t="n">
        <v>50</v>
      </c>
      <c r="AE35" t="n">
        <v>0</v>
      </c>
      <c r="AF35" t="n">
        <v>0.079</v>
      </c>
      <c r="AG35" t="n">
        <v>7.7</v>
      </c>
      <c r="AH35" t="n">
        <v>0</v>
      </c>
      <c r="AI35" t="n">
        <v>1.5</v>
      </c>
      <c r="AJ35" t="n">
        <v>50.6</v>
      </c>
      <c r="AK35" t="n">
        <v>0.6</v>
      </c>
    </row>
    <row r="36">
      <c r="A36" t="inlineStr">
        <is>
          <t>Vegetables</t>
        </is>
      </c>
      <c r="B36" t="inlineStr">
        <is>
          <t>Mushrooms, white, raw</t>
        </is>
      </c>
      <c r="C36" t="inlineStr"/>
      <c r="D36" t="n">
        <v>169251</v>
      </c>
      <c r="E36" t="inlineStr">
        <is>
          <t>USDA FoodData Central, SR Legacy</t>
        </is>
      </c>
      <c r="F36" t="inlineStr">
        <is>
          <t>https://api.nal.usda.gov/fdc/v1/food/169251</t>
        </is>
      </c>
      <c r="G36" t="inlineStr">
        <is>
          <t>2019-04-01</t>
        </is>
      </c>
      <c r="H36" t="n">
        <v>3</v>
      </c>
      <c r="I36" t="n">
        <v>3.26</v>
      </c>
      <c r="J36" t="n">
        <v>17.3</v>
      </c>
      <c r="K36" t="inlineStr">
        <is>
          <t>no data</t>
        </is>
      </c>
      <c r="L36" t="n">
        <v>0.34</v>
      </c>
      <c r="M36" t="n">
        <v>1</v>
      </c>
      <c r="N36" t="n">
        <v>17</v>
      </c>
      <c r="O36" t="n">
        <v>0.5</v>
      </c>
      <c r="P36" t="n">
        <v>22</v>
      </c>
      <c r="Q36" t="n">
        <v>9</v>
      </c>
      <c r="R36" t="n">
        <v>0.047</v>
      </c>
      <c r="S36" t="n">
        <v>3.61</v>
      </c>
      <c r="T36" t="n">
        <v>1.5</v>
      </c>
      <c r="U36" t="n">
        <v>86</v>
      </c>
      <c r="V36" t="n">
        <v>318</v>
      </c>
      <c r="W36" t="n">
        <v>3.09</v>
      </c>
      <c r="X36" t="n">
        <v>0.402</v>
      </c>
      <c r="Y36" t="n">
        <v>0.05</v>
      </c>
      <c r="Z36" t="n">
        <v>9.300000000000001</v>
      </c>
      <c r="AA36" t="n">
        <v>5</v>
      </c>
      <c r="AB36" t="inlineStr">
        <is>
          <t>no data</t>
        </is>
      </c>
      <c r="AC36" t="n">
        <v>0.081</v>
      </c>
      <c r="AD36" t="n">
        <v>0</v>
      </c>
      <c r="AE36" t="n">
        <v>0.04</v>
      </c>
      <c r="AF36" t="n">
        <v>0.104</v>
      </c>
      <c r="AG36" t="n">
        <v>2.1</v>
      </c>
      <c r="AH36" t="n">
        <v>0.2</v>
      </c>
      <c r="AI36" t="n">
        <v>0.01</v>
      </c>
      <c r="AJ36" t="n">
        <v>0</v>
      </c>
      <c r="AK36" t="n">
        <v>0.52</v>
      </c>
    </row>
    <row r="37">
      <c r="A37" t="inlineStr">
        <is>
          <t>Vegetables</t>
        </is>
      </c>
      <c r="B37" t="inlineStr">
        <is>
          <t>Celery, raw</t>
        </is>
      </c>
      <c r="C37" t="inlineStr"/>
      <c r="D37" t="n">
        <v>169988</v>
      </c>
      <c r="E37" t="inlineStr">
        <is>
          <t>USDA FoodData Central, SR Legacy</t>
        </is>
      </c>
      <c r="F37" t="inlineStr">
        <is>
          <t>https://api.nal.usda.gov/fdc/v1/food/169988</t>
        </is>
      </c>
      <c r="G37" t="inlineStr">
        <is>
          <t>2019-04-01</t>
        </is>
      </c>
      <c r="H37" t="n">
        <v>40</v>
      </c>
      <c r="I37" t="n">
        <v>2.97</v>
      </c>
      <c r="J37" t="n">
        <v>6.1</v>
      </c>
      <c r="K37" t="inlineStr">
        <is>
          <t>no data</t>
        </is>
      </c>
      <c r="L37" t="n">
        <v>0.17</v>
      </c>
      <c r="M37" t="n">
        <v>1.6</v>
      </c>
      <c r="N37" t="n">
        <v>36</v>
      </c>
      <c r="O37" t="n">
        <v>0.2</v>
      </c>
      <c r="P37" t="n">
        <v>14</v>
      </c>
      <c r="Q37" t="n">
        <v>11</v>
      </c>
      <c r="R37" t="n">
        <v>0.103</v>
      </c>
      <c r="S37" t="n">
        <v>0.32</v>
      </c>
      <c r="T37" t="n">
        <v>0.246</v>
      </c>
      <c r="U37" t="n">
        <v>24</v>
      </c>
      <c r="V37" t="n">
        <v>260</v>
      </c>
      <c r="W37" t="n">
        <v>0.6899999999999999</v>
      </c>
      <c r="X37" t="n">
        <v>0.057</v>
      </c>
      <c r="Y37" t="n">
        <v>0.042</v>
      </c>
      <c r="Z37" t="n">
        <v>0.4</v>
      </c>
      <c r="AA37" t="n">
        <v>80</v>
      </c>
      <c r="AB37" t="inlineStr">
        <is>
          <t>no data</t>
        </is>
      </c>
      <c r="AC37" t="n">
        <v>0.021</v>
      </c>
      <c r="AD37" t="n">
        <v>22</v>
      </c>
      <c r="AE37" t="n">
        <v>0</v>
      </c>
      <c r="AF37" t="n">
        <v>0.074</v>
      </c>
      <c r="AG37" t="n">
        <v>3.1</v>
      </c>
      <c r="AH37" t="n">
        <v>0</v>
      </c>
      <c r="AI37" t="n">
        <v>0.27</v>
      </c>
      <c r="AJ37" t="n">
        <v>29.3</v>
      </c>
      <c r="AK37" t="n">
        <v>0.13</v>
      </c>
    </row>
    <row r="38">
      <c r="A38" t="inlineStr">
        <is>
          <t>Vegetables</t>
        </is>
      </c>
      <c r="B38" t="inlineStr">
        <is>
          <t>Lettuce, cos or romaine, raw</t>
        </is>
      </c>
      <c r="C38" t="inlineStr"/>
      <c r="D38" t="n">
        <v>169247</v>
      </c>
      <c r="E38" t="inlineStr">
        <is>
          <t>USDA FoodData Central, SR Legacy</t>
        </is>
      </c>
      <c r="F38" t="inlineStr">
        <is>
          <t>https://api.nal.usda.gov/fdc/v1/food/169247</t>
        </is>
      </c>
      <c r="G38" t="inlineStr">
        <is>
          <t>2019-04-01</t>
        </is>
      </c>
      <c r="H38" t="n">
        <v>33</v>
      </c>
      <c r="I38" t="n">
        <v>3.29</v>
      </c>
      <c r="J38" t="n">
        <v>9.9</v>
      </c>
      <c r="K38" t="inlineStr">
        <is>
          <t>no data</t>
        </is>
      </c>
      <c r="L38" t="n">
        <v>0.3</v>
      </c>
      <c r="M38" t="n">
        <v>2.1</v>
      </c>
      <c r="N38" t="n">
        <v>136</v>
      </c>
      <c r="O38" t="n">
        <v>0.97</v>
      </c>
      <c r="P38" t="n">
        <v>17</v>
      </c>
      <c r="Q38" t="n">
        <v>14</v>
      </c>
      <c r="R38" t="n">
        <v>0.155</v>
      </c>
      <c r="S38" t="n">
        <v>0.313</v>
      </c>
      <c r="T38" t="n">
        <v>0.142</v>
      </c>
      <c r="U38" t="n">
        <v>30</v>
      </c>
      <c r="V38" t="n">
        <v>247</v>
      </c>
      <c r="W38" t="n">
        <v>1.23</v>
      </c>
      <c r="X38" t="n">
        <v>0.067</v>
      </c>
      <c r="Y38" t="n">
        <v>0.039</v>
      </c>
      <c r="Z38" t="n">
        <v>0.4</v>
      </c>
      <c r="AA38" t="n">
        <v>8</v>
      </c>
      <c r="AB38" t="inlineStr">
        <is>
          <t>no data</t>
        </is>
      </c>
      <c r="AC38" t="n">
        <v>0.07199999999999999</v>
      </c>
      <c r="AD38" t="n">
        <v>436</v>
      </c>
      <c r="AE38" t="n">
        <v>0</v>
      </c>
      <c r="AF38" t="n">
        <v>0.074</v>
      </c>
      <c r="AG38" t="n">
        <v>4</v>
      </c>
      <c r="AH38" t="n">
        <v>0</v>
      </c>
      <c r="AI38" t="n">
        <v>0.13</v>
      </c>
      <c r="AJ38" t="n">
        <v>102</v>
      </c>
      <c r="AK38" t="n">
        <v>0.23</v>
      </c>
    </row>
    <row r="39">
      <c r="A39" t="inlineStr">
        <is>
          <t>Vegetables</t>
        </is>
      </c>
      <c r="B39" t="inlineStr">
        <is>
          <t>Corn, sweet, yellow, cooked, boiled, drained, without salt</t>
        </is>
      </c>
      <c r="C39" t="inlineStr"/>
      <c r="D39" t="n">
        <v>169999</v>
      </c>
      <c r="E39" t="inlineStr">
        <is>
          <t>USDA FoodData Central, SR Legacy</t>
        </is>
      </c>
      <c r="F39" t="inlineStr">
        <is>
          <t>https://api.nal.usda.gov/fdc/v1/food/169999</t>
        </is>
      </c>
      <c r="G39" t="inlineStr">
        <is>
          <t>2019-04-01</t>
        </is>
      </c>
      <c r="H39" t="n">
        <v>3</v>
      </c>
      <c r="I39" t="n">
        <v>21</v>
      </c>
      <c r="J39" t="n">
        <v>29.1</v>
      </c>
      <c r="K39" t="inlineStr">
        <is>
          <t>no data</t>
        </is>
      </c>
      <c r="L39" t="n">
        <v>1.5</v>
      </c>
      <c r="M39" t="n">
        <v>2.4</v>
      </c>
      <c r="N39" t="n">
        <v>23</v>
      </c>
      <c r="O39" t="n">
        <v>0.45</v>
      </c>
      <c r="P39" t="n">
        <v>96</v>
      </c>
      <c r="Q39" t="n">
        <v>26</v>
      </c>
      <c r="R39" t="n">
        <v>0.167</v>
      </c>
      <c r="S39" t="n">
        <v>1.68</v>
      </c>
      <c r="T39" t="n">
        <v>0.792</v>
      </c>
      <c r="U39" t="n">
        <v>77</v>
      </c>
      <c r="V39" t="n">
        <v>218</v>
      </c>
      <c r="W39" t="n">
        <v>3.41</v>
      </c>
      <c r="X39" t="n">
        <v>0.057</v>
      </c>
      <c r="Y39" t="n">
        <v>0.197</v>
      </c>
      <c r="Z39" t="n">
        <v>0.2</v>
      </c>
      <c r="AA39" t="n">
        <v>1</v>
      </c>
      <c r="AB39" t="inlineStr">
        <is>
          <t>no data</t>
        </is>
      </c>
      <c r="AC39" t="n">
        <v>0.093</v>
      </c>
      <c r="AD39" t="n">
        <v>13</v>
      </c>
      <c r="AE39" t="n">
        <v>0</v>
      </c>
      <c r="AF39" t="n">
        <v>0.139</v>
      </c>
      <c r="AG39" t="n">
        <v>5.5</v>
      </c>
      <c r="AH39" t="n">
        <v>0</v>
      </c>
      <c r="AI39" t="n">
        <v>0.09</v>
      </c>
      <c r="AJ39" t="n">
        <v>0.4</v>
      </c>
      <c r="AK39" t="n">
        <v>0.62</v>
      </c>
    </row>
    <row r="40">
      <c r="A40" t="inlineStr">
        <is>
          <t>Vegetables</t>
        </is>
      </c>
      <c r="B40" t="inlineStr">
        <is>
          <t>Peas, green, cooked, boiled, drained, without salt</t>
        </is>
      </c>
      <c r="C40" t="inlineStr"/>
      <c r="D40" t="n">
        <v>170420</v>
      </c>
      <c r="E40" t="inlineStr">
        <is>
          <t>USDA FoodData Central, SR Legacy</t>
        </is>
      </c>
      <c r="F40" t="inlineStr">
        <is>
          <t>https://api.nal.usda.gov/fdc/v1/food/170420</t>
        </is>
      </c>
      <c r="G40" t="inlineStr">
        <is>
          <t>2019-04-01</t>
        </is>
      </c>
      <c r="H40" t="n">
        <v>27</v>
      </c>
      <c r="I40" t="n">
        <v>15.6</v>
      </c>
      <c r="J40" t="n">
        <v>29.7</v>
      </c>
      <c r="K40" t="inlineStr">
        <is>
          <t>no data</t>
        </is>
      </c>
      <c r="L40" t="n">
        <v>0.22</v>
      </c>
      <c r="M40" t="n">
        <v>5.5</v>
      </c>
      <c r="N40" t="n">
        <v>63</v>
      </c>
      <c r="O40" t="n">
        <v>1.54</v>
      </c>
      <c r="P40" t="n">
        <v>84</v>
      </c>
      <c r="Q40" t="n">
        <v>39</v>
      </c>
      <c r="R40" t="n">
        <v>0.525</v>
      </c>
      <c r="S40" t="n">
        <v>2.02</v>
      </c>
      <c r="T40" t="n">
        <v>0.153</v>
      </c>
      <c r="U40" t="n">
        <v>117</v>
      </c>
      <c r="V40" t="n">
        <v>271</v>
      </c>
      <c r="W40" t="n">
        <v>5.36</v>
      </c>
      <c r="X40" t="n">
        <v>0.149</v>
      </c>
      <c r="Y40" t="n">
        <v>0.039</v>
      </c>
      <c r="Z40" t="n">
        <v>1.9</v>
      </c>
      <c r="AA40" t="n">
        <v>3</v>
      </c>
      <c r="AB40" t="inlineStr">
        <is>
          <t>no data</t>
        </is>
      </c>
      <c r="AC40" t="n">
        <v>0.259</v>
      </c>
      <c r="AD40" t="n">
        <v>40</v>
      </c>
      <c r="AE40" t="n">
        <v>0</v>
      </c>
      <c r="AF40" t="n">
        <v>0.216</v>
      </c>
      <c r="AG40" t="n">
        <v>14.2</v>
      </c>
      <c r="AH40" t="n">
        <v>0</v>
      </c>
      <c r="AI40" t="n">
        <v>0.14</v>
      </c>
      <c r="AJ40" t="n">
        <v>25.9</v>
      </c>
      <c r="AK40" t="n">
        <v>1.19</v>
      </c>
    </row>
    <row r="41">
      <c r="A41" t="inlineStr">
        <is>
          <t>Vegetables</t>
        </is>
      </c>
      <c r="B41" t="inlineStr">
        <is>
          <t>Beets, cooked, boiled, drained</t>
        </is>
      </c>
      <c r="C41" t="inlineStr"/>
      <c r="D41" t="n">
        <v>169146</v>
      </c>
      <c r="E41" t="inlineStr">
        <is>
          <t>USDA FoodData Central, SR Legacy</t>
        </is>
      </c>
      <c r="F41" t="inlineStr">
        <is>
          <t>https://api.nal.usda.gov/fdc/v1/food/169146</t>
        </is>
      </c>
      <c r="G41" t="inlineStr">
        <is>
          <t>2019-04-01</t>
        </is>
      </c>
      <c r="H41" t="n">
        <v>16</v>
      </c>
      <c r="I41" t="n">
        <v>9.960000000000001</v>
      </c>
      <c r="J41" t="n">
        <v>6.3</v>
      </c>
      <c r="K41" t="inlineStr">
        <is>
          <t>no data</t>
        </is>
      </c>
      <c r="L41" t="n">
        <v>0.18</v>
      </c>
      <c r="M41" t="n">
        <v>2</v>
      </c>
      <c r="N41" t="n">
        <v>80</v>
      </c>
      <c r="O41" t="n">
        <v>0.79</v>
      </c>
      <c r="P41" t="n">
        <v>44</v>
      </c>
      <c r="Q41" t="n">
        <v>23</v>
      </c>
      <c r="R41" t="n">
        <v>0.326</v>
      </c>
      <c r="S41" t="n">
        <v>0.331</v>
      </c>
      <c r="T41" t="n">
        <v>0.145</v>
      </c>
      <c r="U41" t="n">
        <v>38</v>
      </c>
      <c r="V41" t="n">
        <v>305</v>
      </c>
      <c r="W41" t="n">
        <v>1.68</v>
      </c>
      <c r="X41" t="n">
        <v>0.04</v>
      </c>
      <c r="Y41" t="n">
        <v>0.028</v>
      </c>
      <c r="Z41" t="n">
        <v>0.7</v>
      </c>
      <c r="AA41" t="n">
        <v>77</v>
      </c>
      <c r="AB41" t="inlineStr">
        <is>
          <t>no data</t>
        </is>
      </c>
      <c r="AC41" t="n">
        <v>0.027</v>
      </c>
      <c r="AD41" t="n">
        <v>2</v>
      </c>
      <c r="AE41" t="n">
        <v>0</v>
      </c>
      <c r="AF41" t="n">
        <v>0.067</v>
      </c>
      <c r="AG41" t="n">
        <v>3.6</v>
      </c>
      <c r="AH41" t="n">
        <v>0</v>
      </c>
      <c r="AI41" t="n">
        <v>0.04</v>
      </c>
      <c r="AJ41" t="n">
        <v>0.2</v>
      </c>
      <c r="AK41" t="n">
        <v>0.35</v>
      </c>
    </row>
    <row r="42">
      <c r="A42" t="inlineStr">
        <is>
          <t>Vegetables</t>
        </is>
      </c>
      <c r="B42" t="inlineStr">
        <is>
          <t>Eggplant, cooked, boiled, drained, without salt</t>
        </is>
      </c>
      <c r="C42" t="inlineStr"/>
      <c r="D42" t="n">
        <v>169229</v>
      </c>
      <c r="E42" t="inlineStr">
        <is>
          <t>USDA FoodData Central, SR Legacy</t>
        </is>
      </c>
      <c r="F42" t="inlineStr">
        <is>
          <t>https://api.nal.usda.gov/fdc/v1/food/169229</t>
        </is>
      </c>
      <c r="G42" t="inlineStr">
        <is>
          <t>2019-04-01</t>
        </is>
      </c>
      <c r="H42" t="n">
        <v>6</v>
      </c>
      <c r="I42" t="n">
        <v>8.73</v>
      </c>
      <c r="J42" t="n">
        <v>9.4</v>
      </c>
      <c r="K42" t="inlineStr">
        <is>
          <t>no data</t>
        </is>
      </c>
      <c r="L42" t="n">
        <v>0.23</v>
      </c>
      <c r="M42" t="n">
        <v>2.5</v>
      </c>
      <c r="N42" t="n">
        <v>14</v>
      </c>
      <c r="O42" t="n">
        <v>0.25</v>
      </c>
      <c r="P42" t="n">
        <v>35</v>
      </c>
      <c r="Q42" t="n">
        <v>11</v>
      </c>
      <c r="R42" t="n">
        <v>0.113</v>
      </c>
      <c r="S42" t="n">
        <v>0.6</v>
      </c>
      <c r="T42" t="n">
        <v>0.075</v>
      </c>
      <c r="U42" t="n">
        <v>15</v>
      </c>
      <c r="V42" t="n">
        <v>123</v>
      </c>
      <c r="W42" t="n">
        <v>0.83</v>
      </c>
      <c r="X42" t="n">
        <v>0.02</v>
      </c>
      <c r="Y42" t="n">
        <v>0.044</v>
      </c>
      <c r="Z42" t="n">
        <v>0.1</v>
      </c>
      <c r="AA42" t="n">
        <v>1</v>
      </c>
      <c r="AB42" t="inlineStr">
        <is>
          <t>no data</t>
        </is>
      </c>
      <c r="AC42" t="n">
        <v>0.076</v>
      </c>
      <c r="AD42" t="n">
        <v>2</v>
      </c>
      <c r="AE42" t="n">
        <v>0</v>
      </c>
      <c r="AF42" t="n">
        <v>0.08599999999999999</v>
      </c>
      <c r="AG42" t="n">
        <v>1.3</v>
      </c>
      <c r="AH42" t="n">
        <v>0</v>
      </c>
      <c r="AI42" t="n">
        <v>0.41</v>
      </c>
      <c r="AJ42" t="n">
        <v>2.9</v>
      </c>
      <c r="AK42" t="n">
        <v>0.12</v>
      </c>
    </row>
    <row r="43">
      <c r="A43" t="inlineStr">
        <is>
          <t>Fruits</t>
        </is>
      </c>
      <c r="B43" t="inlineStr">
        <is>
          <t>Apples, raw, with skin (Includes foods for USDA's Food Distribution Program)</t>
        </is>
      </c>
      <c r="C43" t="inlineStr"/>
      <c r="D43" t="n">
        <v>171688</v>
      </c>
      <c r="E43" t="inlineStr">
        <is>
          <t>USDA FoodData Central, SR Legacy</t>
        </is>
      </c>
      <c r="F43" t="inlineStr">
        <is>
          <t>https://api.nal.usda.gov/fdc/v1/food/171688</t>
        </is>
      </c>
      <c r="G43" t="inlineStr">
        <is>
          <t>2019-04-01</t>
        </is>
      </c>
      <c r="H43" t="n">
        <v>6</v>
      </c>
      <c r="I43" t="n">
        <v>13.8</v>
      </c>
      <c r="J43" t="n">
        <v>3.4</v>
      </c>
      <c r="K43" t="inlineStr">
        <is>
          <t>no data</t>
        </is>
      </c>
      <c r="L43" t="n">
        <v>0.17</v>
      </c>
      <c r="M43" t="n">
        <v>2.4</v>
      </c>
      <c r="N43" t="n">
        <v>3</v>
      </c>
      <c r="O43" t="n">
        <v>0.12</v>
      </c>
      <c r="P43" t="n">
        <v>52</v>
      </c>
      <c r="Q43" t="n">
        <v>5</v>
      </c>
      <c r="R43" t="n">
        <v>0.035</v>
      </c>
      <c r="S43" t="n">
        <v>0.091</v>
      </c>
      <c r="T43" t="n">
        <v>0.061</v>
      </c>
      <c r="U43" t="n">
        <v>11</v>
      </c>
      <c r="V43" t="n">
        <v>107</v>
      </c>
      <c r="W43" t="n">
        <v>0.26</v>
      </c>
      <c r="X43" t="n">
        <v>0.026</v>
      </c>
      <c r="Y43" t="n">
        <v>0.028</v>
      </c>
      <c r="Z43" t="n">
        <v>0</v>
      </c>
      <c r="AA43" t="n">
        <v>1</v>
      </c>
      <c r="AB43" t="inlineStr">
        <is>
          <t>no data</t>
        </is>
      </c>
      <c r="AC43" t="n">
        <v>0.017</v>
      </c>
      <c r="AD43" t="n">
        <v>3</v>
      </c>
      <c r="AE43" t="n">
        <v>0</v>
      </c>
      <c r="AF43" t="n">
        <v>0.041</v>
      </c>
      <c r="AG43" t="n">
        <v>4.6</v>
      </c>
      <c r="AH43" t="n">
        <v>0</v>
      </c>
      <c r="AI43" t="n">
        <v>0.18</v>
      </c>
      <c r="AJ43" t="n">
        <v>2.2</v>
      </c>
      <c r="AK43" t="n">
        <v>0.04</v>
      </c>
    </row>
    <row r="44">
      <c r="A44" t="inlineStr">
        <is>
          <t>Fruits</t>
        </is>
      </c>
      <c r="B44" t="inlineStr">
        <is>
          <t>Bananas, raw</t>
        </is>
      </c>
      <c r="C44" t="inlineStr"/>
      <c r="D44" t="n">
        <v>173944</v>
      </c>
      <c r="E44" t="inlineStr">
        <is>
          <t>USDA FoodData Central, SR Legacy</t>
        </is>
      </c>
      <c r="F44" t="inlineStr">
        <is>
          <t>https://api.nal.usda.gov/fdc/v1/food/173944</t>
        </is>
      </c>
      <c r="G44" t="inlineStr">
        <is>
          <t>2019-04-01</t>
        </is>
      </c>
      <c r="H44" t="n">
        <v>5</v>
      </c>
      <c r="I44" t="n">
        <v>22.8</v>
      </c>
      <c r="J44" t="n">
        <v>9.800000000000001</v>
      </c>
      <c r="K44" t="inlineStr">
        <is>
          <t>no data</t>
        </is>
      </c>
      <c r="L44" t="n">
        <v>0.33</v>
      </c>
      <c r="M44" t="n">
        <v>2.6</v>
      </c>
      <c r="N44" t="n">
        <v>20</v>
      </c>
      <c r="O44" t="n">
        <v>0.26</v>
      </c>
      <c r="P44" t="n">
        <v>89</v>
      </c>
      <c r="Q44" t="n">
        <v>27</v>
      </c>
      <c r="R44" t="n">
        <v>0.27</v>
      </c>
      <c r="S44" t="n">
        <v>0.665</v>
      </c>
      <c r="T44" t="n">
        <v>0.334</v>
      </c>
      <c r="U44" t="n">
        <v>22</v>
      </c>
      <c r="V44" t="n">
        <v>358</v>
      </c>
      <c r="W44" t="n">
        <v>1.09</v>
      </c>
      <c r="X44" t="n">
        <v>0.073</v>
      </c>
      <c r="Y44" t="n">
        <v>0.112</v>
      </c>
      <c r="Z44" t="n">
        <v>1</v>
      </c>
      <c r="AA44" t="n">
        <v>1</v>
      </c>
      <c r="AB44" t="inlineStr">
        <is>
          <t>no data</t>
        </is>
      </c>
      <c r="AC44" t="n">
        <v>0.031</v>
      </c>
      <c r="AD44" t="n">
        <v>3</v>
      </c>
      <c r="AE44" t="n">
        <v>0</v>
      </c>
      <c r="AF44" t="n">
        <v>0.367</v>
      </c>
      <c r="AG44" t="n">
        <v>8.699999999999999</v>
      </c>
      <c r="AH44" t="n">
        <v>0</v>
      </c>
      <c r="AI44" t="n">
        <v>0.1</v>
      </c>
      <c r="AJ44" t="n">
        <v>0.5</v>
      </c>
      <c r="AK44" t="n">
        <v>0.15</v>
      </c>
    </row>
    <row r="45">
      <c r="A45" t="inlineStr">
        <is>
          <t>Fruits</t>
        </is>
      </c>
      <c r="B45" t="inlineStr">
        <is>
          <t>Oranges, raw, all commercial varieties</t>
        </is>
      </c>
      <c r="C45" t="inlineStr"/>
      <c r="D45" t="n">
        <v>169097</v>
      </c>
      <c r="E45" t="inlineStr">
        <is>
          <t>USDA FoodData Central, SR Legacy</t>
        </is>
      </c>
      <c r="F45" t="inlineStr">
        <is>
          <t>https://api.nal.usda.gov/fdc/v1/food/169097</t>
        </is>
      </c>
      <c r="G45" t="inlineStr">
        <is>
          <t>2019-04-01</t>
        </is>
      </c>
      <c r="H45" t="n">
        <v>40</v>
      </c>
      <c r="I45" t="n">
        <v>11.8</v>
      </c>
      <c r="J45" t="n">
        <v>8.4</v>
      </c>
      <c r="K45" t="inlineStr">
        <is>
          <t>no data</t>
        </is>
      </c>
      <c r="L45" t="n">
        <v>0.12</v>
      </c>
      <c r="M45" t="n">
        <v>2.4</v>
      </c>
      <c r="N45" t="n">
        <v>30</v>
      </c>
      <c r="O45" t="n">
        <v>0.1</v>
      </c>
      <c r="P45" t="n">
        <v>47</v>
      </c>
      <c r="Q45" t="n">
        <v>10</v>
      </c>
      <c r="R45" t="n">
        <v>0.025</v>
      </c>
      <c r="S45" t="n">
        <v>0.282</v>
      </c>
      <c r="T45" t="n">
        <v>0.25</v>
      </c>
      <c r="U45" t="n">
        <v>14</v>
      </c>
      <c r="V45" t="n">
        <v>181</v>
      </c>
      <c r="W45" t="n">
        <v>0.9399999999999999</v>
      </c>
      <c r="X45" t="n">
        <v>0.04</v>
      </c>
      <c r="Y45" t="n">
        <v>0.015</v>
      </c>
      <c r="Z45" t="n">
        <v>0.5</v>
      </c>
      <c r="AA45" t="n">
        <v>0</v>
      </c>
      <c r="AB45" t="inlineStr">
        <is>
          <t>no data</t>
        </is>
      </c>
      <c r="AC45" t="n">
        <v>0.08699999999999999</v>
      </c>
      <c r="AD45" t="n">
        <v>11</v>
      </c>
      <c r="AE45" t="n">
        <v>0</v>
      </c>
      <c r="AF45" t="n">
        <v>0.06</v>
      </c>
      <c r="AG45" t="n">
        <v>53.2</v>
      </c>
      <c r="AH45" t="n">
        <v>0</v>
      </c>
      <c r="AI45" t="n">
        <v>0.18</v>
      </c>
      <c r="AJ45" t="n">
        <v>0</v>
      </c>
      <c r="AK45" t="n">
        <v>0.07000000000000001</v>
      </c>
    </row>
    <row r="46">
      <c r="A46" t="inlineStr">
        <is>
          <t>Fruits</t>
        </is>
      </c>
      <c r="B46" t="inlineStr">
        <is>
          <t>Strawberries, raw</t>
        </is>
      </c>
      <c r="C46" t="inlineStr"/>
      <c r="D46" t="n">
        <v>167762</v>
      </c>
      <c r="E46" t="inlineStr">
        <is>
          <t>USDA FoodData Central, SR Legacy</t>
        </is>
      </c>
      <c r="F46" t="inlineStr">
        <is>
          <t>https://api.nal.usda.gov/fdc/v1/food/167762</t>
        </is>
      </c>
      <c r="G46" t="inlineStr">
        <is>
          <t>2019-04-01</t>
        </is>
      </c>
      <c r="H46" t="n">
        <v>16</v>
      </c>
      <c r="I46" t="n">
        <v>7.68</v>
      </c>
      <c r="J46" t="n">
        <v>5.7</v>
      </c>
      <c r="K46" t="inlineStr">
        <is>
          <t>no data</t>
        </is>
      </c>
      <c r="L46" t="n">
        <v>0.3</v>
      </c>
      <c r="M46" t="n">
        <v>2</v>
      </c>
      <c r="N46" t="n">
        <v>24</v>
      </c>
      <c r="O46" t="n">
        <v>0.41</v>
      </c>
      <c r="P46" t="n">
        <v>32</v>
      </c>
      <c r="Q46" t="n">
        <v>13</v>
      </c>
      <c r="R46" t="n">
        <v>0.386</v>
      </c>
      <c r="S46" t="n">
        <v>0.386</v>
      </c>
      <c r="T46" t="n">
        <v>0.125</v>
      </c>
      <c r="U46" t="n">
        <v>24</v>
      </c>
      <c r="V46" t="n">
        <v>153</v>
      </c>
      <c r="W46" t="n">
        <v>0.67</v>
      </c>
      <c r="X46" t="n">
        <v>0.022</v>
      </c>
      <c r="Y46" t="n">
        <v>0.015</v>
      </c>
      <c r="Z46" t="n">
        <v>0.4</v>
      </c>
      <c r="AA46" t="n">
        <v>1</v>
      </c>
      <c r="AB46" t="inlineStr">
        <is>
          <t>no data</t>
        </is>
      </c>
      <c r="AC46" t="n">
        <v>0.024</v>
      </c>
      <c r="AD46" t="n">
        <v>1</v>
      </c>
      <c r="AE46" t="n">
        <v>0</v>
      </c>
      <c r="AF46" t="n">
        <v>0.047</v>
      </c>
      <c r="AG46" t="n">
        <v>58.8</v>
      </c>
      <c r="AH46" t="n">
        <v>0</v>
      </c>
      <c r="AI46" t="n">
        <v>0.29</v>
      </c>
      <c r="AJ46" t="n">
        <v>2.2</v>
      </c>
      <c r="AK46" t="n">
        <v>0.14</v>
      </c>
    </row>
    <row r="47">
      <c r="A47" t="inlineStr">
        <is>
          <t>Fruits</t>
        </is>
      </c>
      <c r="B47" t="inlineStr">
        <is>
          <t>Blueberries, raw</t>
        </is>
      </c>
      <c r="C47" t="inlineStr"/>
      <c r="D47" t="n">
        <v>171711</v>
      </c>
      <c r="E47" t="inlineStr">
        <is>
          <t>USDA FoodData Central, SR Legacy</t>
        </is>
      </c>
      <c r="F47" t="inlineStr">
        <is>
          <t>https://api.nal.usda.gov/fdc/v1/food/171711</t>
        </is>
      </c>
      <c r="G47" t="inlineStr">
        <is>
          <t>2019-04-01</t>
        </is>
      </c>
      <c r="H47" t="n">
        <v>6</v>
      </c>
      <c r="I47" t="n">
        <v>14.5</v>
      </c>
      <c r="J47" t="n">
        <v>6</v>
      </c>
      <c r="K47" t="inlineStr">
        <is>
          <t>no data</t>
        </is>
      </c>
      <c r="L47" t="n">
        <v>0.33</v>
      </c>
      <c r="M47" t="n">
        <v>2.4</v>
      </c>
      <c r="N47" t="n">
        <v>6</v>
      </c>
      <c r="O47" t="n">
        <v>0.28</v>
      </c>
      <c r="P47" t="n">
        <v>57</v>
      </c>
      <c r="Q47" t="n">
        <v>6</v>
      </c>
      <c r="R47" t="n">
        <v>0.336</v>
      </c>
      <c r="S47" t="n">
        <v>0.418</v>
      </c>
      <c r="T47" t="n">
        <v>0.124</v>
      </c>
      <c r="U47" t="n">
        <v>12</v>
      </c>
      <c r="V47" t="n">
        <v>77</v>
      </c>
      <c r="W47" t="n">
        <v>0.74</v>
      </c>
      <c r="X47" t="n">
        <v>0.041</v>
      </c>
      <c r="Y47" t="n">
        <v>0.028</v>
      </c>
      <c r="Z47" t="n">
        <v>0.1</v>
      </c>
      <c r="AA47" t="n">
        <v>1</v>
      </c>
      <c r="AB47" t="inlineStr">
        <is>
          <t>no data</t>
        </is>
      </c>
      <c r="AC47" t="n">
        <v>0.037</v>
      </c>
      <c r="AD47" t="n">
        <v>3</v>
      </c>
      <c r="AE47" t="n">
        <v>0</v>
      </c>
      <c r="AF47" t="n">
        <v>0.052</v>
      </c>
      <c r="AG47" t="n">
        <v>9.699999999999999</v>
      </c>
      <c r="AH47" t="n">
        <v>0</v>
      </c>
      <c r="AI47" t="n">
        <v>0.57</v>
      </c>
      <c r="AJ47" t="n">
        <v>19.3</v>
      </c>
      <c r="AK47" t="n">
        <v>0.16</v>
      </c>
    </row>
    <row r="48">
      <c r="A48" t="inlineStr">
        <is>
          <t>Fruits</t>
        </is>
      </c>
      <c r="B48" t="inlineStr">
        <is>
          <t>Grapes, red or green (European type, such as Thompson seedless), raw</t>
        </is>
      </c>
      <c r="C48" t="inlineStr"/>
      <c r="D48" t="n">
        <v>174683</v>
      </c>
      <c r="E48" t="inlineStr">
        <is>
          <t>USDA FoodData Central, SR Legacy</t>
        </is>
      </c>
      <c r="F48" t="inlineStr">
        <is>
          <t>https://api.nal.usda.gov/fdc/v1/food/174683</t>
        </is>
      </c>
      <c r="G48" t="inlineStr">
        <is>
          <t>2019-04-01</t>
        </is>
      </c>
      <c r="H48" t="n">
        <v>10</v>
      </c>
      <c r="I48" t="n">
        <v>18.1</v>
      </c>
      <c r="J48" t="n">
        <v>5.6</v>
      </c>
      <c r="K48" t="inlineStr">
        <is>
          <t>no data</t>
        </is>
      </c>
      <c r="L48" t="n">
        <v>0.16</v>
      </c>
      <c r="M48" t="n">
        <v>0.9</v>
      </c>
      <c r="N48" t="n">
        <v>2</v>
      </c>
      <c r="O48" t="n">
        <v>0.36</v>
      </c>
      <c r="P48" t="n">
        <v>69</v>
      </c>
      <c r="Q48" t="n">
        <v>7</v>
      </c>
      <c r="R48" t="n">
        <v>0.07099999999999999</v>
      </c>
      <c r="S48" t="n">
        <v>0.188</v>
      </c>
      <c r="T48" t="n">
        <v>0.05</v>
      </c>
      <c r="U48" t="n">
        <v>20</v>
      </c>
      <c r="V48" t="n">
        <v>191</v>
      </c>
      <c r="W48" t="n">
        <v>0.72</v>
      </c>
      <c r="X48" t="n">
        <v>0.07000000000000001</v>
      </c>
      <c r="Y48" t="n">
        <v>0.054</v>
      </c>
      <c r="Z48" t="n">
        <v>0.1</v>
      </c>
      <c r="AA48" t="n">
        <v>2</v>
      </c>
      <c r="AB48" t="inlineStr">
        <is>
          <t>no data</t>
        </is>
      </c>
      <c r="AC48" t="n">
        <v>0.06900000000000001</v>
      </c>
      <c r="AD48" t="n">
        <v>3</v>
      </c>
      <c r="AE48" t="n">
        <v>0</v>
      </c>
      <c r="AF48" t="n">
        <v>0.08599999999999999</v>
      </c>
      <c r="AG48" t="n">
        <v>3.2</v>
      </c>
      <c r="AH48" t="n">
        <v>0</v>
      </c>
      <c r="AI48" t="n">
        <v>0.19</v>
      </c>
      <c r="AJ48" t="n">
        <v>14.6</v>
      </c>
      <c r="AK48" t="n">
        <v>0.07000000000000001</v>
      </c>
    </row>
    <row r="49">
      <c r="A49" t="inlineStr">
        <is>
          <t>Fruits</t>
        </is>
      </c>
      <c r="B49" t="inlineStr">
        <is>
          <t>Watermelon, raw</t>
        </is>
      </c>
      <c r="C49" t="inlineStr"/>
      <c r="D49" t="n">
        <v>167765</v>
      </c>
      <c r="E49" t="inlineStr">
        <is>
          <t>USDA FoodData Central, SR Legacy</t>
        </is>
      </c>
      <c r="F49" t="inlineStr">
        <is>
          <t>https://api.nal.usda.gov/fdc/v1/food/167765</t>
        </is>
      </c>
      <c r="G49" t="inlineStr">
        <is>
          <t>2019-04-01</t>
        </is>
      </c>
      <c r="H49" t="n">
        <v>7</v>
      </c>
      <c r="I49" t="n">
        <v>7.55</v>
      </c>
      <c r="J49" t="n">
        <v>4.1</v>
      </c>
      <c r="K49" t="inlineStr">
        <is>
          <t>no data</t>
        </is>
      </c>
      <c r="L49" t="n">
        <v>0.15</v>
      </c>
      <c r="M49" t="n">
        <v>0.4</v>
      </c>
      <c r="N49" t="n">
        <v>3</v>
      </c>
      <c r="O49" t="n">
        <v>0.24</v>
      </c>
      <c r="P49" t="n">
        <v>30</v>
      </c>
      <c r="Q49" t="n">
        <v>10</v>
      </c>
      <c r="R49" t="n">
        <v>0.038</v>
      </c>
      <c r="S49" t="n">
        <v>0.178</v>
      </c>
      <c r="T49" t="n">
        <v>0.221</v>
      </c>
      <c r="U49" t="n">
        <v>11</v>
      </c>
      <c r="V49" t="n">
        <v>112</v>
      </c>
      <c r="W49" t="n">
        <v>0.61</v>
      </c>
      <c r="X49" t="n">
        <v>0.021</v>
      </c>
      <c r="Y49" t="n">
        <v>0.016</v>
      </c>
      <c r="Z49" t="n">
        <v>0.4</v>
      </c>
      <c r="AA49" t="n">
        <v>1</v>
      </c>
      <c r="AB49" t="inlineStr">
        <is>
          <t>no data</t>
        </is>
      </c>
      <c r="AC49" t="n">
        <v>0.033</v>
      </c>
      <c r="AD49" t="n">
        <v>28</v>
      </c>
      <c r="AE49" t="n">
        <v>0</v>
      </c>
      <c r="AF49" t="n">
        <v>0.045</v>
      </c>
      <c r="AG49" t="n">
        <v>8.1</v>
      </c>
      <c r="AH49" t="n">
        <v>0</v>
      </c>
      <c r="AI49" t="n">
        <v>0.05</v>
      </c>
      <c r="AJ49" t="n">
        <v>0.1</v>
      </c>
      <c r="AK49" t="n">
        <v>0.1</v>
      </c>
    </row>
    <row r="50">
      <c r="A50" t="inlineStr">
        <is>
          <t>Fruits</t>
        </is>
      </c>
      <c r="B50" t="inlineStr">
        <is>
          <t>Pineapple, raw, all varieties</t>
        </is>
      </c>
      <c r="C50" t="inlineStr"/>
      <c r="D50" t="n">
        <v>169124</v>
      </c>
      <c r="E50" t="inlineStr">
        <is>
          <t>USDA FoodData Central, SR Legacy</t>
        </is>
      </c>
      <c r="F50" t="inlineStr">
        <is>
          <t>https://api.nal.usda.gov/fdc/v1/food/169124</t>
        </is>
      </c>
      <c r="G50" t="inlineStr">
        <is>
          <t>2019-04-01</t>
        </is>
      </c>
      <c r="H50" t="n">
        <v>13</v>
      </c>
      <c r="I50" t="n">
        <v>13.1</v>
      </c>
      <c r="J50" t="n">
        <v>5.5</v>
      </c>
      <c r="K50" t="inlineStr">
        <is>
          <t>no data</t>
        </is>
      </c>
      <c r="L50" t="n">
        <v>0.12</v>
      </c>
      <c r="M50" t="n">
        <v>1.4</v>
      </c>
      <c r="N50" t="n">
        <v>18</v>
      </c>
      <c r="O50" t="n">
        <v>0.29</v>
      </c>
      <c r="P50" t="n">
        <v>50</v>
      </c>
      <c r="Q50" t="n">
        <v>12</v>
      </c>
      <c r="R50" t="n">
        <v>0.927</v>
      </c>
      <c r="S50" t="n">
        <v>0.5</v>
      </c>
      <c r="T50" t="n">
        <v>0.213</v>
      </c>
      <c r="U50" t="n">
        <v>8</v>
      </c>
      <c r="V50" t="n">
        <v>109</v>
      </c>
      <c r="W50" t="n">
        <v>0.54</v>
      </c>
      <c r="X50" t="n">
        <v>0.032</v>
      </c>
      <c r="Y50" t="n">
        <v>0.008999999999999999</v>
      </c>
      <c r="Z50" t="n">
        <v>0.1</v>
      </c>
      <c r="AA50" t="n">
        <v>1</v>
      </c>
      <c r="AB50" t="inlineStr">
        <is>
          <t>no data</t>
        </is>
      </c>
      <c r="AC50" t="n">
        <v>0.079</v>
      </c>
      <c r="AD50" t="n">
        <v>3</v>
      </c>
      <c r="AE50" t="n">
        <v>0</v>
      </c>
      <c r="AF50" t="n">
        <v>0.112</v>
      </c>
      <c r="AG50" t="n">
        <v>47.8</v>
      </c>
      <c r="AH50" t="n">
        <v>0</v>
      </c>
      <c r="AI50" t="n">
        <v>0.02</v>
      </c>
      <c r="AJ50" t="n">
        <v>0.7</v>
      </c>
      <c r="AK50" t="n">
        <v>0.12</v>
      </c>
    </row>
    <row r="51">
      <c r="A51" t="inlineStr">
        <is>
          <t>Fruits</t>
        </is>
      </c>
      <c r="B51" t="inlineStr">
        <is>
          <t>Mangos, raw</t>
        </is>
      </c>
      <c r="C51" t="inlineStr"/>
      <c r="D51" t="n">
        <v>169910</v>
      </c>
      <c r="E51" t="inlineStr">
        <is>
          <t>USDA FoodData Central, SR Legacy</t>
        </is>
      </c>
      <c r="F51" t="inlineStr">
        <is>
          <t>https://api.nal.usda.gov/fdc/v1/food/169910</t>
        </is>
      </c>
      <c r="G51" t="inlineStr">
        <is>
          <t>2019-04-01</t>
        </is>
      </c>
      <c r="H51" t="n">
        <v>11</v>
      </c>
      <c r="I51" t="n">
        <v>15</v>
      </c>
      <c r="J51" t="n">
        <v>7.6</v>
      </c>
      <c r="K51" t="inlineStr">
        <is>
          <t>no data</t>
        </is>
      </c>
      <c r="L51" t="n">
        <v>0.38</v>
      </c>
      <c r="M51" t="n">
        <v>1.6</v>
      </c>
      <c r="N51" t="n">
        <v>43</v>
      </c>
      <c r="O51" t="n">
        <v>0.16</v>
      </c>
      <c r="P51" t="n">
        <v>60</v>
      </c>
      <c r="Q51" t="n">
        <v>10</v>
      </c>
      <c r="R51" t="n">
        <v>0.063</v>
      </c>
      <c r="S51" t="n">
        <v>0.669</v>
      </c>
      <c r="T51" t="n">
        <v>0.197</v>
      </c>
      <c r="U51" t="n">
        <v>14</v>
      </c>
      <c r="V51" t="n">
        <v>168</v>
      </c>
      <c r="W51" t="n">
        <v>0.82</v>
      </c>
      <c r="X51" t="n">
        <v>0.038</v>
      </c>
      <c r="Y51" t="n">
        <v>0.092</v>
      </c>
      <c r="Z51" t="n">
        <v>0.6</v>
      </c>
      <c r="AA51" t="n">
        <v>1</v>
      </c>
      <c r="AB51" t="inlineStr">
        <is>
          <t>no data</t>
        </is>
      </c>
      <c r="AC51" t="n">
        <v>0.028</v>
      </c>
      <c r="AD51" t="n">
        <v>54</v>
      </c>
      <c r="AE51" t="n">
        <v>0</v>
      </c>
      <c r="AF51" t="n">
        <v>0.119</v>
      </c>
      <c r="AG51" t="n">
        <v>36.4</v>
      </c>
      <c r="AH51" t="n">
        <v>0</v>
      </c>
      <c r="AI51" t="n">
        <v>0.9</v>
      </c>
      <c r="AJ51" t="n">
        <v>4.2</v>
      </c>
      <c r="AK51" t="n">
        <v>0.09</v>
      </c>
    </row>
    <row r="52">
      <c r="A52" t="inlineStr">
        <is>
          <t>Fruits</t>
        </is>
      </c>
      <c r="B52" t="inlineStr">
        <is>
          <t>Peaches, yellow, raw</t>
        </is>
      </c>
      <c r="C52" t="inlineStr"/>
      <c r="D52" t="n">
        <v>169928</v>
      </c>
      <c r="E52" t="inlineStr">
        <is>
          <t>USDA FoodData Central, SR Legacy</t>
        </is>
      </c>
      <c r="F52" t="inlineStr">
        <is>
          <t>https://api.nal.usda.gov/fdc/v1/food/169928</t>
        </is>
      </c>
      <c r="G52" t="inlineStr">
        <is>
          <t>2019-04-01</t>
        </is>
      </c>
      <c r="H52" t="n">
        <v>6</v>
      </c>
      <c r="I52" t="n">
        <v>9.539999999999999</v>
      </c>
      <c r="J52" t="n">
        <v>6.1</v>
      </c>
      <c r="K52" t="inlineStr">
        <is>
          <t>no data</t>
        </is>
      </c>
      <c r="L52" t="n">
        <v>0.25</v>
      </c>
      <c r="M52" t="n">
        <v>1.5</v>
      </c>
      <c r="N52" t="n">
        <v>4</v>
      </c>
      <c r="O52" t="n">
        <v>0.25</v>
      </c>
      <c r="P52" t="n">
        <v>39</v>
      </c>
      <c r="Q52" t="n">
        <v>9</v>
      </c>
      <c r="R52" t="n">
        <v>0.061</v>
      </c>
      <c r="S52" t="n">
        <v>0.806</v>
      </c>
      <c r="T52" t="n">
        <v>0.153</v>
      </c>
      <c r="U52" t="n">
        <v>20</v>
      </c>
      <c r="V52" t="n">
        <v>190</v>
      </c>
      <c r="W52" t="n">
        <v>0.91</v>
      </c>
      <c r="X52" t="n">
        <v>0.031</v>
      </c>
      <c r="Y52" t="n">
        <v>0.019</v>
      </c>
      <c r="Z52" t="n">
        <v>0.1</v>
      </c>
      <c r="AA52" t="n">
        <v>0</v>
      </c>
      <c r="AB52" t="inlineStr">
        <is>
          <t>no data</t>
        </is>
      </c>
      <c r="AC52" t="n">
        <v>0.024</v>
      </c>
      <c r="AD52" t="n">
        <v>16</v>
      </c>
      <c r="AE52" t="n">
        <v>0</v>
      </c>
      <c r="AF52" t="n">
        <v>0.025</v>
      </c>
      <c r="AG52" t="n">
        <v>6.6</v>
      </c>
      <c r="AH52" t="n">
        <v>0</v>
      </c>
      <c r="AI52" t="n">
        <v>0.73</v>
      </c>
      <c r="AJ52" t="n">
        <v>2.6</v>
      </c>
      <c r="AK52" t="n">
        <v>0.17</v>
      </c>
    </row>
    <row r="53">
      <c r="A53" t="inlineStr">
        <is>
          <t>Fruits</t>
        </is>
      </c>
      <c r="B53" t="inlineStr">
        <is>
          <t>Pears, raw</t>
        </is>
      </c>
      <c r="C53" t="inlineStr"/>
      <c r="D53" t="n">
        <v>169118</v>
      </c>
      <c r="E53" t="inlineStr">
        <is>
          <t>USDA FoodData Central, SR Legacy</t>
        </is>
      </c>
      <c r="F53" t="inlineStr">
        <is>
          <t>https://api.nal.usda.gov/fdc/v1/food/169118</t>
        </is>
      </c>
      <c r="G53" t="inlineStr">
        <is>
          <t>2019-04-01</t>
        </is>
      </c>
      <c r="H53" t="n">
        <v>9</v>
      </c>
      <c r="I53" t="n">
        <v>15.2</v>
      </c>
      <c r="J53" t="n">
        <v>5.1</v>
      </c>
      <c r="K53" t="inlineStr">
        <is>
          <t>no data</t>
        </is>
      </c>
      <c r="L53" t="n">
        <v>0.14</v>
      </c>
      <c r="M53" t="n">
        <v>3.1</v>
      </c>
      <c r="N53" t="n">
        <v>7</v>
      </c>
      <c r="O53" t="n">
        <v>0.18</v>
      </c>
      <c r="P53" t="n">
        <v>57</v>
      </c>
      <c r="Q53" t="n">
        <v>7</v>
      </c>
      <c r="R53" t="n">
        <v>0.048</v>
      </c>
      <c r="S53" t="n">
        <v>0.161</v>
      </c>
      <c r="T53" t="n">
        <v>0.049</v>
      </c>
      <c r="U53" t="n">
        <v>12</v>
      </c>
      <c r="V53" t="n">
        <v>116</v>
      </c>
      <c r="W53" t="n">
        <v>0.36</v>
      </c>
      <c r="X53" t="n">
        <v>0.026</v>
      </c>
      <c r="Y53" t="n">
        <v>0.022</v>
      </c>
      <c r="Z53" t="n">
        <v>0.1</v>
      </c>
      <c r="AA53" t="n">
        <v>1</v>
      </c>
      <c r="AB53" t="inlineStr">
        <is>
          <t>no data</t>
        </is>
      </c>
      <c r="AC53" t="n">
        <v>0.012</v>
      </c>
      <c r="AD53" t="n">
        <v>1</v>
      </c>
      <c r="AE53" t="n">
        <v>0</v>
      </c>
      <c r="AF53" t="n">
        <v>0.029</v>
      </c>
      <c r="AG53" t="n">
        <v>4.3</v>
      </c>
      <c r="AH53" t="n">
        <v>0</v>
      </c>
      <c r="AI53" t="n">
        <v>0.12</v>
      </c>
      <c r="AJ53" t="n">
        <v>4.4</v>
      </c>
      <c r="AK53" t="n">
        <v>0.1</v>
      </c>
    </row>
    <row r="54">
      <c r="A54" t="inlineStr">
        <is>
          <t>Fruits</t>
        </is>
      </c>
      <c r="B54" t="inlineStr">
        <is>
          <t>Kiwifruit, green, raw</t>
        </is>
      </c>
      <c r="C54" t="inlineStr">
        <is>
          <t>Chinese gooseberry</t>
        </is>
      </c>
      <c r="D54" t="n">
        <v>168153</v>
      </c>
      <c r="E54" t="inlineStr">
        <is>
          <t>USDA FoodData Central, SR Legacy</t>
        </is>
      </c>
      <c r="F54" t="inlineStr">
        <is>
          <t>https://api.nal.usda.gov/fdc/v1/food/168153</t>
        </is>
      </c>
      <c r="G54" t="inlineStr">
        <is>
          <t>2019-04-01</t>
        </is>
      </c>
      <c r="H54" t="n">
        <v>34</v>
      </c>
      <c r="I54" t="n">
        <v>14.7</v>
      </c>
      <c r="J54" t="n">
        <v>7.8</v>
      </c>
      <c r="K54" t="inlineStr">
        <is>
          <t>no data</t>
        </is>
      </c>
      <c r="L54" t="n">
        <v>0.52</v>
      </c>
      <c r="M54" t="n">
        <v>3</v>
      </c>
      <c r="N54" t="n">
        <v>25</v>
      </c>
      <c r="O54" t="n">
        <v>0.31</v>
      </c>
      <c r="P54" t="n">
        <v>61</v>
      </c>
      <c r="Q54" t="n">
        <v>17</v>
      </c>
      <c r="R54" t="n">
        <v>0.098</v>
      </c>
      <c r="S54" t="n">
        <v>0.341</v>
      </c>
      <c r="T54" t="n">
        <v>0.183</v>
      </c>
      <c r="U54" t="n">
        <v>34</v>
      </c>
      <c r="V54" t="n">
        <v>312</v>
      </c>
      <c r="W54" t="n">
        <v>1.14</v>
      </c>
      <c r="X54" t="n">
        <v>0.025</v>
      </c>
      <c r="Y54" t="n">
        <v>0.029</v>
      </c>
      <c r="Z54" t="n">
        <v>0.2</v>
      </c>
      <c r="AA54" t="n">
        <v>3</v>
      </c>
      <c r="AB54" t="inlineStr">
        <is>
          <t>no data</t>
        </is>
      </c>
      <c r="AC54" t="n">
        <v>0.027</v>
      </c>
      <c r="AD54" t="n">
        <v>4</v>
      </c>
      <c r="AE54" t="n">
        <v>0</v>
      </c>
      <c r="AF54" t="n">
        <v>0.063</v>
      </c>
      <c r="AG54" t="n">
        <v>92.7</v>
      </c>
      <c r="AH54" t="n">
        <v>0</v>
      </c>
      <c r="AI54" t="n">
        <v>1.46</v>
      </c>
      <c r="AJ54" t="n">
        <v>40.3</v>
      </c>
      <c r="AK54" t="n">
        <v>0.14</v>
      </c>
    </row>
    <row r="55">
      <c r="A55" t="inlineStr">
        <is>
          <t>Fruits</t>
        </is>
      </c>
      <c r="B55" t="inlineStr">
        <is>
          <t>Avocados, raw, all commercial varieties</t>
        </is>
      </c>
      <c r="C55" t="inlineStr"/>
      <c r="D55" t="n">
        <v>171705</v>
      </c>
      <c r="E55" t="inlineStr">
        <is>
          <t>USDA FoodData Central, SR Legacy</t>
        </is>
      </c>
      <c r="F55" t="inlineStr">
        <is>
          <t>https://api.nal.usda.gov/fdc/v1/food/171705</t>
        </is>
      </c>
      <c r="G55" t="inlineStr">
        <is>
          <t>2019-04-01</t>
        </is>
      </c>
      <c r="H55" t="n">
        <v>12</v>
      </c>
      <c r="I55" t="n">
        <v>8.529999999999999</v>
      </c>
      <c r="J55" t="n">
        <v>14.2</v>
      </c>
      <c r="K55" t="inlineStr">
        <is>
          <t>no data</t>
        </is>
      </c>
      <c r="L55" t="n">
        <v>14.7</v>
      </c>
      <c r="M55" t="n">
        <v>6.7</v>
      </c>
      <c r="N55" t="n">
        <v>81</v>
      </c>
      <c r="O55" t="n">
        <v>0.55</v>
      </c>
      <c r="P55" t="n">
        <v>160</v>
      </c>
      <c r="Q55" t="n">
        <v>29</v>
      </c>
      <c r="R55" t="n">
        <v>0.142</v>
      </c>
      <c r="S55" t="n">
        <v>1.74</v>
      </c>
      <c r="T55" t="n">
        <v>1.39</v>
      </c>
      <c r="U55" t="n">
        <v>52</v>
      </c>
      <c r="V55" t="n">
        <v>485</v>
      </c>
      <c r="W55" t="n">
        <v>2</v>
      </c>
      <c r="X55" t="n">
        <v>0.13</v>
      </c>
      <c r="Y55" t="n">
        <v>2.13</v>
      </c>
      <c r="Z55" t="n">
        <v>0.4</v>
      </c>
      <c r="AA55" t="n">
        <v>7</v>
      </c>
      <c r="AB55" t="inlineStr">
        <is>
          <t>no data</t>
        </is>
      </c>
      <c r="AC55" t="n">
        <v>0.067</v>
      </c>
      <c r="AD55" t="n">
        <v>7</v>
      </c>
      <c r="AE55" t="n">
        <v>0</v>
      </c>
      <c r="AF55" t="n">
        <v>0.257</v>
      </c>
      <c r="AG55" t="n">
        <v>10</v>
      </c>
      <c r="AH55" t="n">
        <v>0</v>
      </c>
      <c r="AI55" t="n">
        <v>2.07</v>
      </c>
      <c r="AJ55" t="n">
        <v>21</v>
      </c>
      <c r="AK55" t="n">
        <v>0.64</v>
      </c>
    </row>
    <row r="56">
      <c r="A56" t="inlineStr">
        <is>
          <t>Fruits</t>
        </is>
      </c>
      <c r="B56" t="inlineStr">
        <is>
          <t>Lemons, raw, without peel</t>
        </is>
      </c>
      <c r="C56" t="inlineStr"/>
      <c r="D56" t="n">
        <v>167746</v>
      </c>
      <c r="E56" t="inlineStr">
        <is>
          <t>USDA FoodData Central, SR Legacy</t>
        </is>
      </c>
      <c r="F56" t="inlineStr">
        <is>
          <t>https://api.nal.usda.gov/fdc/v1/food/167746</t>
        </is>
      </c>
      <c r="G56" t="inlineStr">
        <is>
          <t>2019-04-01</t>
        </is>
      </c>
      <c r="H56" t="n">
        <v>26</v>
      </c>
      <c r="I56" t="n">
        <v>9.32</v>
      </c>
      <c r="J56" t="n">
        <v>5.1</v>
      </c>
      <c r="K56" t="inlineStr">
        <is>
          <t>no data</t>
        </is>
      </c>
      <c r="L56" t="n">
        <v>0.3</v>
      </c>
      <c r="M56" t="n">
        <v>2.8</v>
      </c>
      <c r="N56" t="n">
        <v>11</v>
      </c>
      <c r="O56" t="n">
        <v>0.6</v>
      </c>
      <c r="P56" t="n">
        <v>29</v>
      </c>
      <c r="Q56" t="n">
        <v>8</v>
      </c>
      <c r="R56" t="n">
        <v>0.03</v>
      </c>
      <c r="S56" t="n">
        <v>0.1</v>
      </c>
      <c r="T56" t="n">
        <v>0.19</v>
      </c>
      <c r="U56" t="n">
        <v>16</v>
      </c>
      <c r="V56" t="n">
        <v>138</v>
      </c>
      <c r="W56" t="n">
        <v>1.1</v>
      </c>
      <c r="X56" t="n">
        <v>0.02</v>
      </c>
      <c r="Y56" t="n">
        <v>0.039</v>
      </c>
      <c r="Z56" t="n">
        <v>0.4</v>
      </c>
      <c r="AA56" t="n">
        <v>2</v>
      </c>
      <c r="AB56" t="inlineStr">
        <is>
          <t>no data</t>
        </is>
      </c>
      <c r="AC56" t="n">
        <v>0.04</v>
      </c>
      <c r="AD56" t="n">
        <v>1</v>
      </c>
      <c r="AE56" t="n">
        <v>0</v>
      </c>
      <c r="AF56" t="n">
        <v>0.08</v>
      </c>
      <c r="AG56" t="n">
        <v>53</v>
      </c>
      <c r="AH56" t="n">
        <v>0</v>
      </c>
      <c r="AI56" t="n">
        <v>0.15</v>
      </c>
      <c r="AJ56" t="n">
        <v>0</v>
      </c>
      <c r="AK56" t="n">
        <v>0.06</v>
      </c>
    </row>
    <row r="57">
      <c r="A57" t="inlineStr">
        <is>
          <t>Fruits</t>
        </is>
      </c>
      <c r="B57" t="inlineStr">
        <is>
          <t>Cherries, sweet, raw</t>
        </is>
      </c>
      <c r="C57" t="inlineStr"/>
      <c r="D57" t="n">
        <v>171719</v>
      </c>
      <c r="E57" t="inlineStr">
        <is>
          <t>USDA FoodData Central, SR Legacy</t>
        </is>
      </c>
      <c r="F57" t="inlineStr">
        <is>
          <t>https://api.nal.usda.gov/fdc/v1/food/171719</t>
        </is>
      </c>
      <c r="G57" t="inlineStr">
        <is>
          <t>2019-04-01</t>
        </is>
      </c>
      <c r="H57" t="n">
        <v>13</v>
      </c>
      <c r="I57" t="n">
        <v>16</v>
      </c>
      <c r="J57" t="n">
        <v>6.1</v>
      </c>
      <c r="K57" t="inlineStr">
        <is>
          <t>no data</t>
        </is>
      </c>
      <c r="L57" t="n">
        <v>0.2</v>
      </c>
      <c r="M57" t="n">
        <v>2.1</v>
      </c>
      <c r="N57" t="n">
        <v>4</v>
      </c>
      <c r="O57" t="n">
        <v>0.36</v>
      </c>
      <c r="P57" t="n">
        <v>63</v>
      </c>
      <c r="Q57" t="n">
        <v>11</v>
      </c>
      <c r="R57" t="n">
        <v>0.07000000000000001</v>
      </c>
      <c r="S57" t="n">
        <v>0.154</v>
      </c>
      <c r="T57" t="n">
        <v>0.199</v>
      </c>
      <c r="U57" t="n">
        <v>21</v>
      </c>
      <c r="V57" t="n">
        <v>222</v>
      </c>
      <c r="W57" t="n">
        <v>1.06</v>
      </c>
      <c r="X57" t="n">
        <v>0.033</v>
      </c>
      <c r="Y57" t="n">
        <v>0.038</v>
      </c>
      <c r="Z57" t="n">
        <v>0</v>
      </c>
      <c r="AA57" t="n">
        <v>0</v>
      </c>
      <c r="AB57" t="inlineStr">
        <is>
          <t>no data</t>
        </is>
      </c>
      <c r="AC57" t="n">
        <v>0.027</v>
      </c>
      <c r="AD57" t="n">
        <v>3</v>
      </c>
      <c r="AE57" t="n">
        <v>0</v>
      </c>
      <c r="AF57" t="n">
        <v>0.049</v>
      </c>
      <c r="AG57" t="n">
        <v>7</v>
      </c>
      <c r="AH57" t="n">
        <v>0</v>
      </c>
      <c r="AI57" t="n">
        <v>0.07000000000000001</v>
      </c>
      <c r="AJ57" t="n">
        <v>2.1</v>
      </c>
      <c r="AK57" t="n">
        <v>0.07000000000000001</v>
      </c>
    </row>
    <row r="58">
      <c r="A58" t="inlineStr">
        <is>
          <t>Fruits</t>
        </is>
      </c>
      <c r="B58" t="inlineStr">
        <is>
          <t>Raspberries, raw</t>
        </is>
      </c>
      <c r="C58" t="inlineStr"/>
      <c r="D58" t="n">
        <v>167755</v>
      </c>
      <c r="E58" t="inlineStr">
        <is>
          <t>USDA FoodData Central, SR Legacy</t>
        </is>
      </c>
      <c r="F58" t="inlineStr">
        <is>
          <t>https://api.nal.usda.gov/fdc/v1/food/167755</t>
        </is>
      </c>
      <c r="G58" t="inlineStr">
        <is>
          <t>2019-04-01</t>
        </is>
      </c>
      <c r="H58" t="n">
        <v>25</v>
      </c>
      <c r="I58" t="n">
        <v>11.9</v>
      </c>
      <c r="J58" t="n">
        <v>12.3</v>
      </c>
      <c r="K58" t="inlineStr">
        <is>
          <t>no data</t>
        </is>
      </c>
      <c r="L58" t="n">
        <v>0.65</v>
      </c>
      <c r="M58" t="n">
        <v>6.5</v>
      </c>
      <c r="N58" t="n">
        <v>21</v>
      </c>
      <c r="O58" t="n">
        <v>0.6899999999999999</v>
      </c>
      <c r="P58" t="n">
        <v>52</v>
      </c>
      <c r="Q58" t="n">
        <v>22</v>
      </c>
      <c r="R58" t="n">
        <v>0.67</v>
      </c>
      <c r="S58" t="n">
        <v>0.598</v>
      </c>
      <c r="T58" t="n">
        <v>0.329</v>
      </c>
      <c r="U58" t="n">
        <v>29</v>
      </c>
      <c r="V58" t="n">
        <v>151</v>
      </c>
      <c r="W58" t="n">
        <v>1.2</v>
      </c>
      <c r="X58" t="n">
        <v>0.038</v>
      </c>
      <c r="Y58" t="n">
        <v>0.019</v>
      </c>
      <c r="Z58" t="n">
        <v>0.2</v>
      </c>
      <c r="AA58" t="n">
        <v>1</v>
      </c>
      <c r="AB58" t="inlineStr">
        <is>
          <t>no data</t>
        </is>
      </c>
      <c r="AC58" t="n">
        <v>0.032</v>
      </c>
      <c r="AD58" t="n">
        <v>2</v>
      </c>
      <c r="AE58" t="n">
        <v>0</v>
      </c>
      <c r="AF58" t="n">
        <v>0.055</v>
      </c>
      <c r="AG58" t="n">
        <v>26.2</v>
      </c>
      <c r="AH58" t="n">
        <v>0</v>
      </c>
      <c r="AI58" t="n">
        <v>0.87</v>
      </c>
      <c r="AJ58" t="n">
        <v>7.8</v>
      </c>
      <c r="AK58" t="n">
        <v>0.42</v>
      </c>
    </row>
    <row r="59">
      <c r="A59" t="inlineStr">
        <is>
          <t>Fruits</t>
        </is>
      </c>
      <c r="B59" t="inlineStr">
        <is>
          <t>Melons, cantaloupe, raw</t>
        </is>
      </c>
      <c r="C59" t="inlineStr"/>
      <c r="D59" t="n">
        <v>169092</v>
      </c>
      <c r="E59" t="inlineStr">
        <is>
          <t>USDA FoodData Central, SR Legacy</t>
        </is>
      </c>
      <c r="F59" t="inlineStr">
        <is>
          <t>https://api.nal.usda.gov/fdc/v1/food/169092</t>
        </is>
      </c>
      <c r="G59" t="inlineStr">
        <is>
          <t>2019-04-01</t>
        </is>
      </c>
      <c r="H59" t="n">
        <v>9</v>
      </c>
      <c r="I59" t="n">
        <v>8.16</v>
      </c>
      <c r="J59" t="n">
        <v>7.6</v>
      </c>
      <c r="K59" t="inlineStr">
        <is>
          <t>no data</t>
        </is>
      </c>
      <c r="L59" t="n">
        <v>0.19</v>
      </c>
      <c r="M59" t="n">
        <v>0.9</v>
      </c>
      <c r="N59" t="n">
        <v>21</v>
      </c>
      <c r="O59" t="n">
        <v>0.21</v>
      </c>
      <c r="P59" t="n">
        <v>34</v>
      </c>
      <c r="Q59" t="n">
        <v>12</v>
      </c>
      <c r="R59" t="n">
        <v>0.041</v>
      </c>
      <c r="S59" t="n">
        <v>0.734</v>
      </c>
      <c r="T59" t="n">
        <v>0.105</v>
      </c>
      <c r="U59" t="n">
        <v>15</v>
      </c>
      <c r="V59" t="n">
        <v>267</v>
      </c>
      <c r="W59" t="n">
        <v>0.84</v>
      </c>
      <c r="X59" t="n">
        <v>0.019</v>
      </c>
      <c r="Y59" t="n">
        <v>0.051</v>
      </c>
      <c r="Z59" t="n">
        <v>0.4</v>
      </c>
      <c r="AA59" t="n">
        <v>16</v>
      </c>
      <c r="AB59" t="inlineStr">
        <is>
          <t>no data</t>
        </is>
      </c>
      <c r="AC59" t="n">
        <v>0.041</v>
      </c>
      <c r="AD59" t="n">
        <v>169</v>
      </c>
      <c r="AE59" t="n">
        <v>0</v>
      </c>
      <c r="AF59" t="n">
        <v>0.07199999999999999</v>
      </c>
      <c r="AG59" t="n">
        <v>36.7</v>
      </c>
      <c r="AH59" t="n">
        <v>0</v>
      </c>
      <c r="AI59" t="n">
        <v>0.05</v>
      </c>
      <c r="AJ59" t="n">
        <v>2.5</v>
      </c>
      <c r="AK59" t="n">
        <v>0.18</v>
      </c>
    </row>
    <row r="60">
      <c r="A60" t="inlineStr">
        <is>
          <t>Fruits</t>
        </is>
      </c>
      <c r="B60" t="inlineStr">
        <is>
          <t>Grapefruit, raw, pink and red, all areas</t>
        </is>
      </c>
      <c r="C60" t="inlineStr"/>
      <c r="D60" t="n">
        <v>174673</v>
      </c>
      <c r="E60" t="inlineStr">
        <is>
          <t>USDA FoodData Central, SR Legacy</t>
        </is>
      </c>
      <c r="F60" t="inlineStr">
        <is>
          <t>https://api.nal.usda.gov/fdc/v1/food/174673</t>
        </is>
      </c>
      <c r="G60" t="inlineStr">
        <is>
          <t>2019-04-01</t>
        </is>
      </c>
      <c r="H60" t="n">
        <v>22</v>
      </c>
      <c r="I60" t="n">
        <v>10.7</v>
      </c>
      <c r="J60" t="n">
        <v>7.7</v>
      </c>
      <c r="K60" t="inlineStr">
        <is>
          <t>no data</t>
        </is>
      </c>
      <c r="L60" t="n">
        <v>0.14</v>
      </c>
      <c r="M60" t="n">
        <v>1.6</v>
      </c>
      <c r="N60" t="n">
        <v>13</v>
      </c>
      <c r="O60" t="n">
        <v>0.08</v>
      </c>
      <c r="P60" t="n">
        <v>42</v>
      </c>
      <c r="Q60" t="n">
        <v>9</v>
      </c>
      <c r="R60" t="n">
        <v>0.022</v>
      </c>
      <c r="S60" t="n">
        <v>0.204</v>
      </c>
      <c r="T60" t="n">
        <v>0.262</v>
      </c>
      <c r="U60" t="n">
        <v>18</v>
      </c>
      <c r="V60" t="n">
        <v>135</v>
      </c>
      <c r="W60" t="n">
        <v>0.77</v>
      </c>
      <c r="X60" t="n">
        <v>0.031</v>
      </c>
      <c r="Y60" t="n">
        <v>0.021</v>
      </c>
      <c r="Z60" t="n">
        <v>0.1</v>
      </c>
      <c r="AA60" t="n">
        <v>0</v>
      </c>
      <c r="AB60" t="inlineStr">
        <is>
          <t>no data</t>
        </is>
      </c>
      <c r="AC60" t="n">
        <v>0.043</v>
      </c>
      <c r="AD60" t="n">
        <v>58</v>
      </c>
      <c r="AE60" t="n">
        <v>0</v>
      </c>
      <c r="AF60" t="n">
        <v>0.053</v>
      </c>
      <c r="AG60" t="n">
        <v>31.2</v>
      </c>
      <c r="AH60" t="n">
        <v>0</v>
      </c>
      <c r="AI60" t="n">
        <v>0.13</v>
      </c>
      <c r="AJ60" t="n">
        <v>0</v>
      </c>
      <c r="AK60" t="n">
        <v>0.07000000000000001</v>
      </c>
    </row>
    <row r="61">
      <c r="A61" t="inlineStr">
        <is>
          <t>Fruits</t>
        </is>
      </c>
      <c r="B61" t="inlineStr">
        <is>
          <t>Plums, raw</t>
        </is>
      </c>
      <c r="C61" t="inlineStr"/>
      <c r="D61" t="n">
        <v>169949</v>
      </c>
      <c r="E61" t="inlineStr">
        <is>
          <t>USDA FoodData Central, SR Legacy</t>
        </is>
      </c>
      <c r="F61" t="inlineStr">
        <is>
          <t>https://api.nal.usda.gov/fdc/v1/food/169949</t>
        </is>
      </c>
      <c r="G61" t="inlineStr">
        <is>
          <t>2019-04-01</t>
        </is>
      </c>
      <c r="H61" t="n">
        <v>6</v>
      </c>
      <c r="I61" t="n">
        <v>11.4</v>
      </c>
      <c r="J61" t="n">
        <v>1.9</v>
      </c>
      <c r="K61" t="inlineStr">
        <is>
          <t>no data</t>
        </is>
      </c>
      <c r="L61" t="n">
        <v>0.28</v>
      </c>
      <c r="M61" t="n">
        <v>1.4</v>
      </c>
      <c r="N61" t="n">
        <v>5</v>
      </c>
      <c r="O61" t="n">
        <v>0.17</v>
      </c>
      <c r="P61" t="n">
        <v>46</v>
      </c>
      <c r="Q61" t="n">
        <v>7</v>
      </c>
      <c r="R61" t="n">
        <v>0.052</v>
      </c>
      <c r="S61" t="n">
        <v>0.417</v>
      </c>
      <c r="T61" t="n">
        <v>0.135</v>
      </c>
      <c r="U61" t="n">
        <v>16</v>
      </c>
      <c r="V61" t="n">
        <v>157</v>
      </c>
      <c r="W61" t="n">
        <v>0.7</v>
      </c>
      <c r="X61" t="n">
        <v>0.026</v>
      </c>
      <c r="Y61" t="n">
        <v>0.017</v>
      </c>
      <c r="Z61" t="n">
        <v>0</v>
      </c>
      <c r="AA61" t="n">
        <v>0</v>
      </c>
      <c r="AB61" t="inlineStr">
        <is>
          <t>no data</t>
        </is>
      </c>
      <c r="AC61" t="n">
        <v>0.028</v>
      </c>
      <c r="AD61" t="n">
        <v>17</v>
      </c>
      <c r="AE61" t="n">
        <v>0</v>
      </c>
      <c r="AF61" t="n">
        <v>0.029</v>
      </c>
      <c r="AG61" t="n">
        <v>9.5</v>
      </c>
      <c r="AH61" t="n">
        <v>0</v>
      </c>
      <c r="AI61" t="n">
        <v>0.26</v>
      </c>
      <c r="AJ61" t="n">
        <v>6.4</v>
      </c>
      <c r="AK61" t="n">
        <v>0.1</v>
      </c>
    </row>
    <row r="62">
      <c r="A62" t="inlineStr">
        <is>
          <t>Fruits</t>
        </is>
      </c>
      <c r="B62" t="inlineStr">
        <is>
          <t>Papayas, raw</t>
        </is>
      </c>
      <c r="C62" t="inlineStr"/>
      <c r="D62" t="n">
        <v>169926</v>
      </c>
      <c r="E62" t="inlineStr">
        <is>
          <t>USDA FoodData Central, SR Legacy</t>
        </is>
      </c>
      <c r="F62" t="inlineStr">
        <is>
          <t>https://api.nal.usda.gov/fdc/v1/food/169926</t>
        </is>
      </c>
      <c r="G62" t="inlineStr">
        <is>
          <t>2019-04-01</t>
        </is>
      </c>
      <c r="H62" t="n">
        <v>20</v>
      </c>
      <c r="I62" t="n">
        <v>10.8</v>
      </c>
      <c r="J62" t="n">
        <v>6.1</v>
      </c>
      <c r="K62" t="inlineStr">
        <is>
          <t>no data</t>
        </is>
      </c>
      <c r="L62" t="n">
        <v>0.26</v>
      </c>
      <c r="M62" t="n">
        <v>1.7</v>
      </c>
      <c r="N62" t="n">
        <v>37</v>
      </c>
      <c r="O62" t="n">
        <v>0.25</v>
      </c>
      <c r="P62" t="n">
        <v>43</v>
      </c>
      <c r="Q62" t="n">
        <v>21</v>
      </c>
      <c r="R62" t="n">
        <v>0.04</v>
      </c>
      <c r="S62" t="n">
        <v>0.357</v>
      </c>
      <c r="T62" t="n">
        <v>0.191</v>
      </c>
      <c r="U62" t="n">
        <v>10</v>
      </c>
      <c r="V62" t="n">
        <v>182</v>
      </c>
      <c r="W62" t="n">
        <v>0.47</v>
      </c>
      <c r="X62" t="n">
        <v>0.027</v>
      </c>
      <c r="Y62" t="n">
        <v>0.081</v>
      </c>
      <c r="Z62" t="n">
        <v>0.6</v>
      </c>
      <c r="AA62" t="n">
        <v>8</v>
      </c>
      <c r="AB62" t="inlineStr">
        <is>
          <t>no data</t>
        </is>
      </c>
      <c r="AC62" t="n">
        <v>0.023</v>
      </c>
      <c r="AD62" t="n">
        <v>47</v>
      </c>
      <c r="AE62" t="n">
        <v>0</v>
      </c>
      <c r="AF62" t="n">
        <v>0.038</v>
      </c>
      <c r="AG62" t="n">
        <v>60.9</v>
      </c>
      <c r="AH62" t="n">
        <v>0</v>
      </c>
      <c r="AI62" t="n">
        <v>0.3</v>
      </c>
      <c r="AJ62" t="n">
        <v>2.6</v>
      </c>
      <c r="AK62" t="n">
        <v>0.08</v>
      </c>
    </row>
    <row r="63">
      <c r="A63" t="inlineStr">
        <is>
          <t>Nuts</t>
        </is>
      </c>
      <c r="B63" t="inlineStr">
        <is>
          <t>Nuts, almonds</t>
        </is>
      </c>
      <c r="C63" t="inlineStr"/>
      <c r="D63" t="n">
        <v>170567</v>
      </c>
      <c r="E63" t="inlineStr">
        <is>
          <t>USDA FoodData Central, SR Legacy</t>
        </is>
      </c>
      <c r="F63" t="inlineStr">
        <is>
          <t>https://api.nal.usda.gov/fdc/v1/food/170567</t>
        </is>
      </c>
      <c r="G63" t="inlineStr">
        <is>
          <t>2019-04-01</t>
        </is>
      </c>
      <c r="H63" t="n">
        <v>269</v>
      </c>
      <c r="I63" t="n">
        <v>21.6</v>
      </c>
      <c r="J63" t="n">
        <v>52.1</v>
      </c>
      <c r="K63" t="inlineStr">
        <is>
          <t>no data</t>
        </is>
      </c>
      <c r="L63" t="n">
        <v>49.9</v>
      </c>
      <c r="M63" t="n">
        <v>12.5</v>
      </c>
      <c r="N63" t="n">
        <v>44</v>
      </c>
      <c r="O63" t="n">
        <v>3.71</v>
      </c>
      <c r="P63" t="n">
        <v>579</v>
      </c>
      <c r="Q63" t="n">
        <v>270</v>
      </c>
      <c r="R63" t="n">
        <v>2.18</v>
      </c>
      <c r="S63" t="n">
        <v>3.62</v>
      </c>
      <c r="T63" t="n">
        <v>0.471</v>
      </c>
      <c r="U63" t="n">
        <v>481</v>
      </c>
      <c r="V63" t="n">
        <v>733</v>
      </c>
      <c r="W63" t="n">
        <v>21.2</v>
      </c>
      <c r="X63" t="n">
        <v>1.14</v>
      </c>
      <c r="Y63" t="n">
        <v>3.8</v>
      </c>
      <c r="Z63" t="n">
        <v>4.1</v>
      </c>
      <c r="AA63" t="n">
        <v>1</v>
      </c>
      <c r="AB63" t="inlineStr">
        <is>
          <t>no data</t>
        </is>
      </c>
      <c r="AC63" t="n">
        <v>0.205</v>
      </c>
      <c r="AD63" t="n">
        <v>0</v>
      </c>
      <c r="AE63" t="n">
        <v>0</v>
      </c>
      <c r="AF63" t="n">
        <v>0.137</v>
      </c>
      <c r="AG63" t="n">
        <v>0</v>
      </c>
      <c r="AH63" t="n">
        <v>0</v>
      </c>
      <c r="AI63" t="n">
        <v>25.6</v>
      </c>
      <c r="AJ63" t="n">
        <v>0</v>
      </c>
      <c r="AK63" t="n">
        <v>3.12</v>
      </c>
    </row>
    <row r="64">
      <c r="A64" t="inlineStr">
        <is>
          <t>Nuts</t>
        </is>
      </c>
      <c r="B64" t="inlineStr">
        <is>
          <t>Nuts, walnuts, english</t>
        </is>
      </c>
      <c r="C64" t="inlineStr"/>
      <c r="D64" t="n">
        <v>170187</v>
      </c>
      <c r="E64" t="inlineStr">
        <is>
          <t>USDA FoodData Central, SR Legacy</t>
        </is>
      </c>
      <c r="F64" t="inlineStr">
        <is>
          <t>https://api.nal.usda.gov/fdc/v1/food/170187</t>
        </is>
      </c>
      <c r="G64" t="inlineStr">
        <is>
          <t>2019-04-01</t>
        </is>
      </c>
      <c r="H64" t="n">
        <v>98</v>
      </c>
      <c r="I64" t="n">
        <v>13.7</v>
      </c>
      <c r="J64" t="n">
        <v>39.2</v>
      </c>
      <c r="K64" t="inlineStr">
        <is>
          <t>no data</t>
        </is>
      </c>
      <c r="L64" t="n">
        <v>65.2</v>
      </c>
      <c r="M64" t="n">
        <v>6.7</v>
      </c>
      <c r="N64" t="n">
        <v>98</v>
      </c>
      <c r="O64" t="n">
        <v>2.91</v>
      </c>
      <c r="P64" t="n">
        <v>654</v>
      </c>
      <c r="Q64" t="n">
        <v>158</v>
      </c>
      <c r="R64" t="n">
        <v>3.41</v>
      </c>
      <c r="S64" t="n">
        <v>1.12</v>
      </c>
      <c r="T64" t="n">
        <v>0.57</v>
      </c>
      <c r="U64" t="n">
        <v>346</v>
      </c>
      <c r="V64" t="n">
        <v>441</v>
      </c>
      <c r="W64" t="n">
        <v>15.2</v>
      </c>
      <c r="X64" t="n">
        <v>0.15</v>
      </c>
      <c r="Y64" t="n">
        <v>6.13</v>
      </c>
      <c r="Z64" t="n">
        <v>4.9</v>
      </c>
      <c r="AA64" t="n">
        <v>2</v>
      </c>
      <c r="AB64" t="inlineStr">
        <is>
          <t>no data</t>
        </is>
      </c>
      <c r="AC64" t="n">
        <v>0.341</v>
      </c>
      <c r="AD64" t="n">
        <v>1</v>
      </c>
      <c r="AE64" t="n">
        <v>0</v>
      </c>
      <c r="AF64" t="n">
        <v>0.537</v>
      </c>
      <c r="AG64" t="n">
        <v>1.3</v>
      </c>
      <c r="AH64" t="n">
        <v>0</v>
      </c>
      <c r="AI64" t="n">
        <v>0.7</v>
      </c>
      <c r="AJ64" t="n">
        <v>2.7</v>
      </c>
      <c r="AK64" t="n">
        <v>3.09</v>
      </c>
    </row>
    <row r="65">
      <c r="A65" t="inlineStr">
        <is>
          <t>Nuts</t>
        </is>
      </c>
      <c r="B65" t="inlineStr">
        <is>
          <t>Nuts, cashew nuts, raw</t>
        </is>
      </c>
      <c r="C65" t="inlineStr"/>
      <c r="D65" t="n">
        <v>170162</v>
      </c>
      <c r="E65" t="inlineStr">
        <is>
          <t>USDA FoodData Central, SR Legacy</t>
        </is>
      </c>
      <c r="F65" t="inlineStr">
        <is>
          <t>https://api.nal.usda.gov/fdc/v1/food/170162</t>
        </is>
      </c>
      <c r="G65" t="inlineStr">
        <is>
          <t>2019-04-01</t>
        </is>
      </c>
      <c r="H65" t="n">
        <v>37</v>
      </c>
      <c r="I65" t="n">
        <v>30.2</v>
      </c>
      <c r="J65" t="inlineStr">
        <is>
          <t>no data</t>
        </is>
      </c>
      <c r="K65" t="inlineStr">
        <is>
          <t>no data</t>
        </is>
      </c>
      <c r="L65" t="n">
        <v>43.8</v>
      </c>
      <c r="M65" t="n">
        <v>3.3</v>
      </c>
      <c r="N65" t="n">
        <v>25</v>
      </c>
      <c r="O65" t="n">
        <v>6.68</v>
      </c>
      <c r="P65" t="n">
        <v>553</v>
      </c>
      <c r="Q65" t="n">
        <v>292</v>
      </c>
      <c r="R65" t="n">
        <v>1.66</v>
      </c>
      <c r="S65" t="n">
        <v>1.06</v>
      </c>
      <c r="T65" t="n">
        <v>0.864</v>
      </c>
      <c r="U65" t="n">
        <v>593</v>
      </c>
      <c r="V65" t="n">
        <v>660</v>
      </c>
      <c r="W65" t="n">
        <v>18.2</v>
      </c>
      <c r="X65" t="n">
        <v>0.058</v>
      </c>
      <c r="Y65" t="n">
        <v>7.78</v>
      </c>
      <c r="Z65" t="n">
        <v>19.9</v>
      </c>
      <c r="AA65" t="n">
        <v>12</v>
      </c>
      <c r="AB65" t="inlineStr">
        <is>
          <t>no data</t>
        </is>
      </c>
      <c r="AC65" t="n">
        <v>0.423</v>
      </c>
      <c r="AD65" t="n">
        <v>0</v>
      </c>
      <c r="AE65" t="n">
        <v>0</v>
      </c>
      <c r="AF65" t="n">
        <v>0.417</v>
      </c>
      <c r="AG65" t="n">
        <v>0.5</v>
      </c>
      <c r="AH65" t="n">
        <v>0</v>
      </c>
      <c r="AI65" t="n">
        <v>0.9</v>
      </c>
      <c r="AJ65" t="n">
        <v>34.1</v>
      </c>
      <c r="AK65" t="n">
        <v>5.78</v>
      </c>
    </row>
    <row r="66">
      <c r="A66" t="inlineStr">
        <is>
          <t>Nuts</t>
        </is>
      </c>
      <c r="B66" t="inlineStr">
        <is>
          <t>Nuts, pistachio nuts, raw</t>
        </is>
      </c>
      <c r="C66" t="inlineStr"/>
      <c r="D66" t="n">
        <v>170184</v>
      </c>
      <c r="E66" t="inlineStr">
        <is>
          <t>USDA FoodData Central, SR Legacy</t>
        </is>
      </c>
      <c r="F66" t="inlineStr">
        <is>
          <t>https://api.nal.usda.gov/fdc/v1/food/170184</t>
        </is>
      </c>
      <c r="G66" t="inlineStr">
        <is>
          <t>2019-04-01</t>
        </is>
      </c>
      <c r="H66" t="n">
        <v>105</v>
      </c>
      <c r="I66" t="n">
        <v>27.2</v>
      </c>
      <c r="J66" t="inlineStr">
        <is>
          <t>no data</t>
        </is>
      </c>
      <c r="K66" t="inlineStr">
        <is>
          <t>no data</t>
        </is>
      </c>
      <c r="L66" t="n">
        <v>45.3</v>
      </c>
      <c r="M66" t="n">
        <v>10.6</v>
      </c>
      <c r="N66" t="n">
        <v>51</v>
      </c>
      <c r="O66" t="n">
        <v>3.92</v>
      </c>
      <c r="P66" t="n">
        <v>560</v>
      </c>
      <c r="Q66" t="n">
        <v>121</v>
      </c>
      <c r="R66" t="n">
        <v>1.2</v>
      </c>
      <c r="S66" t="n">
        <v>1.3</v>
      </c>
      <c r="T66" t="n">
        <v>0.52</v>
      </c>
      <c r="U66" t="n">
        <v>490</v>
      </c>
      <c r="V66" t="n">
        <v>1020</v>
      </c>
      <c r="W66" t="n">
        <v>20.2</v>
      </c>
      <c r="X66" t="n">
        <v>0.16</v>
      </c>
      <c r="Y66" t="n">
        <v>5.91</v>
      </c>
      <c r="Z66" t="n">
        <v>7</v>
      </c>
      <c r="AA66" t="n">
        <v>1</v>
      </c>
      <c r="AB66" t="inlineStr">
        <is>
          <t>no data</t>
        </is>
      </c>
      <c r="AC66" t="n">
        <v>0.87</v>
      </c>
      <c r="AD66" t="n">
        <v>26</v>
      </c>
      <c r="AE66" t="n">
        <v>0</v>
      </c>
      <c r="AF66" t="n">
        <v>1.7</v>
      </c>
      <c r="AG66" t="n">
        <v>5.6</v>
      </c>
      <c r="AH66" t="n">
        <v>0</v>
      </c>
      <c r="AI66" t="n">
        <v>2.86</v>
      </c>
      <c r="AJ66" t="inlineStr">
        <is>
          <t>no data</t>
        </is>
      </c>
      <c r="AK66" t="n">
        <v>2.2</v>
      </c>
    </row>
    <row r="67">
      <c r="A67" t="inlineStr">
        <is>
          <t>Nuts</t>
        </is>
      </c>
      <c r="B67" t="inlineStr">
        <is>
          <t>Nuts, pecans</t>
        </is>
      </c>
      <c r="C67" t="inlineStr"/>
      <c r="D67" t="n">
        <v>170182</v>
      </c>
      <c r="E67" t="inlineStr">
        <is>
          <t>USDA FoodData Central, SR Legacy</t>
        </is>
      </c>
      <c r="F67" t="inlineStr">
        <is>
          <t>https://api.nal.usda.gov/fdc/v1/food/170182</t>
        </is>
      </c>
      <c r="G67" t="inlineStr">
        <is>
          <t>2019-04-01</t>
        </is>
      </c>
      <c r="H67" t="n">
        <v>70</v>
      </c>
      <c r="I67" t="n">
        <v>13.9</v>
      </c>
      <c r="J67" t="n">
        <v>40.5</v>
      </c>
      <c r="K67" t="inlineStr">
        <is>
          <t>no data</t>
        </is>
      </c>
      <c r="L67" t="n">
        <v>72</v>
      </c>
      <c r="M67" t="n">
        <v>9.6</v>
      </c>
      <c r="N67" t="n">
        <v>22</v>
      </c>
      <c r="O67" t="n">
        <v>2.53</v>
      </c>
      <c r="P67" t="n">
        <v>691</v>
      </c>
      <c r="Q67" t="n">
        <v>121</v>
      </c>
      <c r="R67" t="n">
        <v>4.5</v>
      </c>
      <c r="S67" t="n">
        <v>1.17</v>
      </c>
      <c r="T67" t="n">
        <v>0.863</v>
      </c>
      <c r="U67" t="n">
        <v>277</v>
      </c>
      <c r="V67" t="n">
        <v>410</v>
      </c>
      <c r="W67" t="n">
        <v>9.17</v>
      </c>
      <c r="X67" t="n">
        <v>0.13</v>
      </c>
      <c r="Y67" t="n">
        <v>6.18</v>
      </c>
      <c r="Z67" t="n">
        <v>3.8</v>
      </c>
      <c r="AA67" t="n">
        <v>0</v>
      </c>
      <c r="AB67" t="inlineStr">
        <is>
          <t>no data</t>
        </is>
      </c>
      <c r="AC67" t="n">
        <v>0.66</v>
      </c>
      <c r="AD67" t="n">
        <v>3</v>
      </c>
      <c r="AE67" t="n">
        <v>0</v>
      </c>
      <c r="AF67" t="n">
        <v>0.21</v>
      </c>
      <c r="AG67" t="n">
        <v>1.1</v>
      </c>
      <c r="AH67" t="n">
        <v>0</v>
      </c>
      <c r="AI67" t="n">
        <v>1.4</v>
      </c>
      <c r="AJ67" t="n">
        <v>3.5</v>
      </c>
      <c r="AK67" t="n">
        <v>4.53</v>
      </c>
    </row>
    <row r="68">
      <c r="A68" t="inlineStr">
        <is>
          <t>Nuts</t>
        </is>
      </c>
      <c r="B68" t="inlineStr">
        <is>
          <t>Peanuts, all types, raw</t>
        </is>
      </c>
      <c r="C68" t="inlineStr"/>
      <c r="D68" t="n">
        <v>172430</v>
      </c>
      <c r="E68" t="inlineStr">
        <is>
          <t>USDA FoodData Central, SR Legacy</t>
        </is>
      </c>
      <c r="F68" t="inlineStr">
        <is>
          <t>https://api.nal.usda.gov/fdc/v1/food/172430</t>
        </is>
      </c>
      <c r="G68" t="inlineStr">
        <is>
          <t>2019-04-01</t>
        </is>
      </c>
      <c r="H68" t="n">
        <v>92</v>
      </c>
      <c r="I68" t="n">
        <v>16.1</v>
      </c>
      <c r="J68" t="n">
        <v>52.5</v>
      </c>
      <c r="K68" t="inlineStr">
        <is>
          <t>no data</t>
        </is>
      </c>
      <c r="L68" t="n">
        <v>49.2</v>
      </c>
      <c r="M68" t="n">
        <v>8.5</v>
      </c>
      <c r="N68" t="n">
        <v>240</v>
      </c>
      <c r="O68" t="n">
        <v>4.58</v>
      </c>
      <c r="P68" t="n">
        <v>567</v>
      </c>
      <c r="Q68" t="n">
        <v>168</v>
      </c>
      <c r="R68" t="n">
        <v>1.93</v>
      </c>
      <c r="S68" t="n">
        <v>12.1</v>
      </c>
      <c r="T68" t="n">
        <v>1.77</v>
      </c>
      <c r="U68" t="n">
        <v>376</v>
      </c>
      <c r="V68" t="n">
        <v>705</v>
      </c>
      <c r="W68" t="n">
        <v>25.8</v>
      </c>
      <c r="X68" t="n">
        <v>0.135</v>
      </c>
      <c r="Y68" t="n">
        <v>6.28</v>
      </c>
      <c r="Z68" t="n">
        <v>7.2</v>
      </c>
      <c r="AA68" t="n">
        <v>18</v>
      </c>
      <c r="AB68" t="inlineStr">
        <is>
          <t>no data</t>
        </is>
      </c>
      <c r="AC68" t="n">
        <v>0.64</v>
      </c>
      <c r="AD68" t="n">
        <v>0</v>
      </c>
      <c r="AE68" t="n">
        <v>0</v>
      </c>
      <c r="AF68" t="n">
        <v>0.348</v>
      </c>
      <c r="AG68" t="n">
        <v>0</v>
      </c>
      <c r="AH68" t="n">
        <v>0</v>
      </c>
      <c r="AI68" t="n">
        <v>8.33</v>
      </c>
      <c r="AJ68" t="n">
        <v>0</v>
      </c>
      <c r="AK68" t="n">
        <v>3.27</v>
      </c>
    </row>
    <row r="69">
      <c r="A69" t="inlineStr">
        <is>
          <t>Nuts</t>
        </is>
      </c>
      <c r="B69" t="inlineStr">
        <is>
          <t>Nuts, hazelnuts or filberts</t>
        </is>
      </c>
      <c r="C69" t="inlineStr"/>
      <c r="D69" t="n">
        <v>170581</v>
      </c>
      <c r="E69" t="inlineStr">
        <is>
          <t>USDA FoodData Central, SR Legacy</t>
        </is>
      </c>
      <c r="F69" t="inlineStr">
        <is>
          <t>https://api.nal.usda.gov/fdc/v1/food/170581</t>
        </is>
      </c>
      <c r="G69" t="inlineStr">
        <is>
          <t>2019-04-01</t>
        </is>
      </c>
      <c r="H69" t="n">
        <v>114</v>
      </c>
      <c r="I69" t="n">
        <v>16.7</v>
      </c>
      <c r="J69" t="n">
        <v>45.6</v>
      </c>
      <c r="K69" t="inlineStr">
        <is>
          <t>no data</t>
        </is>
      </c>
      <c r="L69" t="n">
        <v>60.8</v>
      </c>
      <c r="M69" t="n">
        <v>9.699999999999999</v>
      </c>
      <c r="N69" t="n">
        <v>113</v>
      </c>
      <c r="O69" t="n">
        <v>4.7</v>
      </c>
      <c r="P69" t="n">
        <v>628</v>
      </c>
      <c r="Q69" t="n">
        <v>163</v>
      </c>
      <c r="R69" t="n">
        <v>6.18</v>
      </c>
      <c r="S69" t="n">
        <v>1.8</v>
      </c>
      <c r="T69" t="n">
        <v>0.918</v>
      </c>
      <c r="U69" t="n">
        <v>290</v>
      </c>
      <c r="V69" t="n">
        <v>680</v>
      </c>
      <c r="W69" t="n">
        <v>15</v>
      </c>
      <c r="X69" t="n">
        <v>0.113</v>
      </c>
      <c r="Y69" t="n">
        <v>4.46</v>
      </c>
      <c r="Z69" t="n">
        <v>2.4</v>
      </c>
      <c r="AA69" t="n">
        <v>0</v>
      </c>
      <c r="AB69" t="inlineStr">
        <is>
          <t>no data</t>
        </is>
      </c>
      <c r="AC69" t="n">
        <v>0.643</v>
      </c>
      <c r="AD69" t="n">
        <v>1</v>
      </c>
      <c r="AE69" t="n">
        <v>0</v>
      </c>
      <c r="AF69" t="n">
        <v>0.5629999999999999</v>
      </c>
      <c r="AG69" t="n">
        <v>6.3</v>
      </c>
      <c r="AH69" t="n">
        <v>0</v>
      </c>
      <c r="AI69" t="n">
        <v>15</v>
      </c>
      <c r="AJ69" t="n">
        <v>14.2</v>
      </c>
      <c r="AK69" t="n">
        <v>2.45</v>
      </c>
    </row>
    <row r="70">
      <c r="A70" t="inlineStr">
        <is>
          <t>Nuts</t>
        </is>
      </c>
      <c r="B70" t="inlineStr">
        <is>
          <t>Nuts, macadamia nuts, raw</t>
        </is>
      </c>
      <c r="C70" t="inlineStr"/>
      <c r="D70" t="n">
        <v>170178</v>
      </c>
      <c r="E70" t="inlineStr">
        <is>
          <t>USDA FoodData Central, SR Legacy</t>
        </is>
      </c>
      <c r="F70" t="inlineStr">
        <is>
          <t>https://api.nal.usda.gov/fdc/v1/food/170178</t>
        </is>
      </c>
      <c r="G70" t="inlineStr">
        <is>
          <t>2019-04-01</t>
        </is>
      </c>
      <c r="H70" t="n">
        <v>85</v>
      </c>
      <c r="I70" t="n">
        <v>13.8</v>
      </c>
      <c r="J70" t="inlineStr">
        <is>
          <t>no data</t>
        </is>
      </c>
      <c r="K70" t="inlineStr">
        <is>
          <t>no data</t>
        </is>
      </c>
      <c r="L70" t="n">
        <v>75.8</v>
      </c>
      <c r="M70" t="n">
        <v>8.6</v>
      </c>
      <c r="N70" t="n">
        <v>11</v>
      </c>
      <c r="O70" t="n">
        <v>3.69</v>
      </c>
      <c r="P70" t="n">
        <v>718</v>
      </c>
      <c r="Q70" t="n">
        <v>130</v>
      </c>
      <c r="R70" t="n">
        <v>4.13</v>
      </c>
      <c r="S70" t="n">
        <v>2.47</v>
      </c>
      <c r="T70" t="n">
        <v>0.758</v>
      </c>
      <c r="U70" t="n">
        <v>188</v>
      </c>
      <c r="V70" t="n">
        <v>368</v>
      </c>
      <c r="W70" t="n">
        <v>7.91</v>
      </c>
      <c r="X70" t="n">
        <v>0.162</v>
      </c>
      <c r="Y70" t="n">
        <v>12.1</v>
      </c>
      <c r="Z70" t="n">
        <v>3.6</v>
      </c>
      <c r="AA70" t="n">
        <v>5</v>
      </c>
      <c r="AB70" t="inlineStr">
        <is>
          <t>no data</t>
        </is>
      </c>
      <c r="AC70" t="n">
        <v>1.2</v>
      </c>
      <c r="AD70" t="n">
        <v>0</v>
      </c>
      <c r="AE70" t="n">
        <v>0</v>
      </c>
      <c r="AF70" t="n">
        <v>0.275</v>
      </c>
      <c r="AG70" t="n">
        <v>1.2</v>
      </c>
      <c r="AH70" t="n">
        <v>0</v>
      </c>
      <c r="AI70" t="n">
        <v>0.54</v>
      </c>
      <c r="AJ70" t="inlineStr">
        <is>
          <t>no data</t>
        </is>
      </c>
      <c r="AK70" t="n">
        <v>1.3</v>
      </c>
    </row>
    <row r="71">
      <c r="A71" t="inlineStr">
        <is>
          <t>Nuts</t>
        </is>
      </c>
      <c r="B71" t="inlineStr">
        <is>
          <t>Nuts, brazilnuts, dried, unblanched</t>
        </is>
      </c>
      <c r="C71" t="inlineStr">
        <is>
          <t>brazil nuts</t>
        </is>
      </c>
      <c r="D71" t="n">
        <v>170569</v>
      </c>
      <c r="E71" t="inlineStr">
        <is>
          <t>USDA FoodData Central, SR Legacy</t>
        </is>
      </c>
      <c r="F71" t="inlineStr">
        <is>
          <t>https://api.nal.usda.gov/fdc/v1/food/170569</t>
        </is>
      </c>
      <c r="G71" t="inlineStr">
        <is>
          <t>2019-04-01</t>
        </is>
      </c>
      <c r="H71" t="n">
        <v>160</v>
      </c>
      <c r="I71" t="n">
        <v>11.7</v>
      </c>
      <c r="J71" t="n">
        <v>28.8</v>
      </c>
      <c r="K71" t="inlineStr">
        <is>
          <t>no data</t>
        </is>
      </c>
      <c r="L71" t="n">
        <v>67.09999999999999</v>
      </c>
      <c r="M71" t="n">
        <v>7.5</v>
      </c>
      <c r="N71" t="n">
        <v>22</v>
      </c>
      <c r="O71" t="n">
        <v>2.43</v>
      </c>
      <c r="P71" t="n">
        <v>659</v>
      </c>
      <c r="Q71" t="n">
        <v>376</v>
      </c>
      <c r="R71" t="n">
        <v>1.22</v>
      </c>
      <c r="S71" t="n">
        <v>0.295</v>
      </c>
      <c r="T71" t="n">
        <v>0.184</v>
      </c>
      <c r="U71" t="n">
        <v>725</v>
      </c>
      <c r="V71" t="n">
        <v>659</v>
      </c>
      <c r="W71" t="n">
        <v>14.3</v>
      </c>
      <c r="X71" t="n">
        <v>0.035</v>
      </c>
      <c r="Y71" t="n">
        <v>16.1</v>
      </c>
      <c r="Z71" t="n">
        <v>1920</v>
      </c>
      <c r="AA71" t="n">
        <v>3</v>
      </c>
      <c r="AB71" t="inlineStr">
        <is>
          <t>no data</t>
        </is>
      </c>
      <c r="AC71" t="n">
        <v>0.617</v>
      </c>
      <c r="AD71" t="n">
        <v>0</v>
      </c>
      <c r="AE71" t="n">
        <v>0</v>
      </c>
      <c r="AF71" t="n">
        <v>0.101</v>
      </c>
      <c r="AG71" t="n">
        <v>0.7</v>
      </c>
      <c r="AH71" t="n">
        <v>0</v>
      </c>
      <c r="AI71" t="n">
        <v>5.65</v>
      </c>
      <c r="AJ71" t="n">
        <v>0</v>
      </c>
      <c r="AK71" t="n">
        <v>4.06</v>
      </c>
    </row>
    <row r="72">
      <c r="A72" t="inlineStr">
        <is>
          <t>Nuts</t>
        </is>
      </c>
      <c r="B72" t="inlineStr">
        <is>
          <t>Nuts, pine nuts, dried</t>
        </is>
      </c>
      <c r="C72" t="inlineStr"/>
      <c r="D72" t="n">
        <v>170591</v>
      </c>
      <c r="E72" t="inlineStr">
        <is>
          <t>USDA FoodData Central, SR Legacy</t>
        </is>
      </c>
      <c r="F72" t="inlineStr">
        <is>
          <t>https://api.nal.usda.gov/fdc/v1/food/170591</t>
        </is>
      </c>
      <c r="G72" t="inlineStr">
        <is>
          <t>2019-04-01</t>
        </is>
      </c>
      <c r="H72" t="n">
        <v>16</v>
      </c>
      <c r="I72" t="n">
        <v>13.1</v>
      </c>
      <c r="J72" t="n">
        <v>55.8</v>
      </c>
      <c r="K72" t="inlineStr">
        <is>
          <t>no data</t>
        </is>
      </c>
      <c r="L72" t="n">
        <v>68.40000000000001</v>
      </c>
      <c r="M72" t="n">
        <v>3.7</v>
      </c>
      <c r="N72" t="n">
        <v>34</v>
      </c>
      <c r="O72" t="n">
        <v>5.53</v>
      </c>
      <c r="P72" t="n">
        <v>673</v>
      </c>
      <c r="Q72" t="n">
        <v>251</v>
      </c>
      <c r="R72" t="n">
        <v>8.800000000000001</v>
      </c>
      <c r="S72" t="n">
        <v>4.39</v>
      </c>
      <c r="T72" t="n">
        <v>0.313</v>
      </c>
      <c r="U72" t="n">
        <v>575</v>
      </c>
      <c r="V72" t="n">
        <v>597</v>
      </c>
      <c r="W72" t="n">
        <v>13.7</v>
      </c>
      <c r="X72" t="n">
        <v>0.227</v>
      </c>
      <c r="Y72" t="n">
        <v>4.9</v>
      </c>
      <c r="Z72" t="n">
        <v>0.7</v>
      </c>
      <c r="AA72" t="n">
        <v>2</v>
      </c>
      <c r="AB72" t="inlineStr">
        <is>
          <t>no data</t>
        </is>
      </c>
      <c r="AC72" t="n">
        <v>0.364</v>
      </c>
      <c r="AD72" t="n">
        <v>1</v>
      </c>
      <c r="AE72" t="n">
        <v>0</v>
      </c>
      <c r="AF72" t="n">
        <v>0.094</v>
      </c>
      <c r="AG72" t="n">
        <v>0.8</v>
      </c>
      <c r="AH72" t="n">
        <v>0</v>
      </c>
      <c r="AI72" t="n">
        <v>9.33</v>
      </c>
      <c r="AJ72" t="n">
        <v>53.9</v>
      </c>
      <c r="AK72" t="n">
        <v>6.45</v>
      </c>
    </row>
    <row r="73">
      <c r="A73" t="inlineStr">
        <is>
          <t>Nuts</t>
        </is>
      </c>
      <c r="B73" t="inlineStr">
        <is>
          <t>Seeds, sunflower seed kernels, dried</t>
        </is>
      </c>
      <c r="C73" t="inlineStr"/>
      <c r="D73" t="n">
        <v>170562</v>
      </c>
      <c r="E73" t="inlineStr">
        <is>
          <t>USDA FoodData Central, SR Legacy</t>
        </is>
      </c>
      <c r="F73" t="inlineStr">
        <is>
          <t>https://api.nal.usda.gov/fdc/v1/food/170562</t>
        </is>
      </c>
      <c r="G73" t="inlineStr">
        <is>
          <t>2019-04-01</t>
        </is>
      </c>
      <c r="H73" t="n">
        <v>78</v>
      </c>
      <c r="I73" t="n">
        <v>20</v>
      </c>
      <c r="J73" t="n">
        <v>55.1</v>
      </c>
      <c r="K73" t="inlineStr">
        <is>
          <t>no data</t>
        </is>
      </c>
      <c r="L73" t="n">
        <v>51.5</v>
      </c>
      <c r="M73" t="n">
        <v>8.6</v>
      </c>
      <c r="N73" t="n">
        <v>227</v>
      </c>
      <c r="O73" t="n">
        <v>5.25</v>
      </c>
      <c r="P73" t="n">
        <v>584</v>
      </c>
      <c r="Q73" t="n">
        <v>325</v>
      </c>
      <c r="R73" t="n">
        <v>1.95</v>
      </c>
      <c r="S73" t="n">
        <v>8.34</v>
      </c>
      <c r="T73" t="n">
        <v>1.13</v>
      </c>
      <c r="U73" t="n">
        <v>660</v>
      </c>
      <c r="V73" t="n">
        <v>645</v>
      </c>
      <c r="W73" t="n">
        <v>20.8</v>
      </c>
      <c r="X73" t="n">
        <v>0.355</v>
      </c>
      <c r="Y73" t="n">
        <v>4.46</v>
      </c>
      <c r="Z73" t="n">
        <v>53</v>
      </c>
      <c r="AA73" t="n">
        <v>9</v>
      </c>
      <c r="AB73" t="inlineStr">
        <is>
          <t>no data</t>
        </is>
      </c>
      <c r="AC73" t="n">
        <v>1.48</v>
      </c>
      <c r="AD73" t="n">
        <v>3</v>
      </c>
      <c r="AE73" t="n">
        <v>0</v>
      </c>
      <c r="AF73" t="n">
        <v>1.34</v>
      </c>
      <c r="AG73" t="n">
        <v>1.4</v>
      </c>
      <c r="AH73" t="n">
        <v>0</v>
      </c>
      <c r="AI73" t="n">
        <v>35.2</v>
      </c>
      <c r="AJ73" t="n">
        <v>0</v>
      </c>
      <c r="AK73" t="n">
        <v>5</v>
      </c>
    </row>
    <row r="74">
      <c r="A74" t="inlineStr">
        <is>
          <t>Nuts</t>
        </is>
      </c>
      <c r="B74" t="inlineStr">
        <is>
          <t>Seeds, pumpkin and squash seed kernels, dried</t>
        </is>
      </c>
      <c r="C74" t="inlineStr">
        <is>
          <t>pepitas</t>
        </is>
      </c>
      <c r="D74" t="n">
        <v>170556</v>
      </c>
      <c r="E74" t="inlineStr">
        <is>
          <t>USDA FoodData Central, SR Legacy</t>
        </is>
      </c>
      <c r="F74" t="inlineStr">
        <is>
          <t>https://api.nal.usda.gov/fdc/v1/food/170556</t>
        </is>
      </c>
      <c r="G74" t="inlineStr">
        <is>
          <t>2019-04-01</t>
        </is>
      </c>
      <c r="H74" t="n">
        <v>46</v>
      </c>
      <c r="I74" t="n">
        <v>10.7</v>
      </c>
      <c r="J74" t="n">
        <v>63</v>
      </c>
      <c r="K74" t="inlineStr">
        <is>
          <t>no data</t>
        </is>
      </c>
      <c r="L74" t="n">
        <v>49</v>
      </c>
      <c r="M74" t="n">
        <v>6</v>
      </c>
      <c r="N74" t="n">
        <v>58</v>
      </c>
      <c r="O74" t="n">
        <v>8.82</v>
      </c>
      <c r="P74" t="n">
        <v>559</v>
      </c>
      <c r="Q74" t="n">
        <v>592</v>
      </c>
      <c r="R74" t="n">
        <v>4.54</v>
      </c>
      <c r="S74" t="n">
        <v>4.99</v>
      </c>
      <c r="T74" t="n">
        <v>0.75</v>
      </c>
      <c r="U74" t="n">
        <v>1230</v>
      </c>
      <c r="V74" t="n">
        <v>809</v>
      </c>
      <c r="W74" t="n">
        <v>30.2</v>
      </c>
      <c r="X74" t="n">
        <v>0.153</v>
      </c>
      <c r="Y74" t="n">
        <v>8.66</v>
      </c>
      <c r="Z74" t="n">
        <v>9.4</v>
      </c>
      <c r="AA74" t="n">
        <v>7</v>
      </c>
      <c r="AB74" t="inlineStr">
        <is>
          <t>no data</t>
        </is>
      </c>
      <c r="AC74" t="n">
        <v>0.273</v>
      </c>
      <c r="AD74" t="n">
        <v>1</v>
      </c>
      <c r="AE74" t="n">
        <v>0</v>
      </c>
      <c r="AF74" t="n">
        <v>0.143</v>
      </c>
      <c r="AG74" t="n">
        <v>1.9</v>
      </c>
      <c r="AH74" t="n">
        <v>0</v>
      </c>
      <c r="AI74" t="n">
        <v>2.18</v>
      </c>
      <c r="AJ74" t="n">
        <v>7.3</v>
      </c>
      <c r="AK74" t="n">
        <v>7.81</v>
      </c>
    </row>
    <row r="75">
      <c r="A75" t="inlineStr">
        <is>
          <t>Nuts</t>
        </is>
      </c>
      <c r="B75" t="inlineStr">
        <is>
          <t>Seeds, chia seeds, dried</t>
        </is>
      </c>
      <c r="C75" t="inlineStr"/>
      <c r="D75" t="n">
        <v>170554</v>
      </c>
      <c r="E75" t="inlineStr">
        <is>
          <t>USDA FoodData Central, SR Legacy</t>
        </is>
      </c>
      <c r="F75" t="inlineStr">
        <is>
          <t>https://api.nal.usda.gov/fdc/v1/food/170554</t>
        </is>
      </c>
      <c r="G75" t="inlineStr">
        <is>
          <t>2019-04-01</t>
        </is>
      </c>
      <c r="H75" t="n">
        <v>631</v>
      </c>
      <c r="I75" t="n">
        <v>42.1</v>
      </c>
      <c r="J75" t="inlineStr">
        <is>
          <t>no data</t>
        </is>
      </c>
      <c r="K75" t="inlineStr">
        <is>
          <t>no data</t>
        </is>
      </c>
      <c r="L75" t="n">
        <v>30.7</v>
      </c>
      <c r="M75" t="n">
        <v>34.4</v>
      </c>
      <c r="N75" t="n">
        <v>49</v>
      </c>
      <c r="O75" t="n">
        <v>7.72</v>
      </c>
      <c r="P75" t="n">
        <v>486</v>
      </c>
      <c r="Q75" t="n">
        <v>335</v>
      </c>
      <c r="R75" t="n">
        <v>2.72</v>
      </c>
      <c r="S75" t="n">
        <v>8.83</v>
      </c>
      <c r="T75" t="inlineStr">
        <is>
          <t>no data</t>
        </is>
      </c>
      <c r="U75" t="n">
        <v>860</v>
      </c>
      <c r="V75" t="n">
        <v>407</v>
      </c>
      <c r="W75" t="n">
        <v>16.5</v>
      </c>
      <c r="X75" t="n">
        <v>0.17</v>
      </c>
      <c r="Y75" t="n">
        <v>3.33</v>
      </c>
      <c r="Z75" t="n">
        <v>55.2</v>
      </c>
      <c r="AA75" t="n">
        <v>16</v>
      </c>
      <c r="AB75" t="inlineStr">
        <is>
          <t>no data</t>
        </is>
      </c>
      <c r="AC75" t="n">
        <v>0.62</v>
      </c>
      <c r="AD75" t="inlineStr">
        <is>
          <t>no data</t>
        </is>
      </c>
      <c r="AE75" t="n">
        <v>0</v>
      </c>
      <c r="AF75" t="inlineStr">
        <is>
          <t>no data</t>
        </is>
      </c>
      <c r="AG75" t="n">
        <v>1.6</v>
      </c>
      <c r="AH75" t="inlineStr">
        <is>
          <t>no data</t>
        </is>
      </c>
      <c r="AI75" t="n">
        <v>0.5</v>
      </c>
      <c r="AJ75" t="inlineStr">
        <is>
          <t>no data</t>
        </is>
      </c>
      <c r="AK75" t="n">
        <v>4.58</v>
      </c>
    </row>
    <row r="76">
      <c r="A76" t="inlineStr">
        <is>
          <t>Nuts</t>
        </is>
      </c>
      <c r="B76" t="inlineStr">
        <is>
          <t>Seeds, flaxseed</t>
        </is>
      </c>
      <c r="C76" t="inlineStr"/>
      <c r="D76" t="n">
        <v>169414</v>
      </c>
      <c r="E76" t="inlineStr">
        <is>
          <t>USDA FoodData Central, SR Legacy</t>
        </is>
      </c>
      <c r="F76" t="inlineStr">
        <is>
          <t>https://api.nal.usda.gov/fdc/v1/food/169414</t>
        </is>
      </c>
      <c r="G76" t="inlineStr">
        <is>
          <t>2019-04-01</t>
        </is>
      </c>
      <c r="H76" t="n">
        <v>255</v>
      </c>
      <c r="I76" t="n">
        <v>28.9</v>
      </c>
      <c r="J76" t="n">
        <v>78.7</v>
      </c>
      <c r="K76" t="inlineStr">
        <is>
          <t>no data</t>
        </is>
      </c>
      <c r="L76" t="n">
        <v>42.2</v>
      </c>
      <c r="M76" t="n">
        <v>27.3</v>
      </c>
      <c r="N76" t="n">
        <v>87</v>
      </c>
      <c r="O76" t="n">
        <v>5.73</v>
      </c>
      <c r="P76" t="n">
        <v>534</v>
      </c>
      <c r="Q76" t="n">
        <v>392</v>
      </c>
      <c r="R76" t="n">
        <v>2.48</v>
      </c>
      <c r="S76" t="n">
        <v>3.08</v>
      </c>
      <c r="T76" t="n">
        <v>0.985</v>
      </c>
      <c r="U76" t="n">
        <v>642</v>
      </c>
      <c r="V76" t="n">
        <v>813</v>
      </c>
      <c r="W76" t="n">
        <v>18.3</v>
      </c>
      <c r="X76" t="n">
        <v>0.161</v>
      </c>
      <c r="Y76" t="n">
        <v>3.66</v>
      </c>
      <c r="Z76" t="n">
        <v>25.4</v>
      </c>
      <c r="AA76" t="n">
        <v>30</v>
      </c>
      <c r="AB76" t="inlineStr">
        <is>
          <t>no data</t>
        </is>
      </c>
      <c r="AC76" t="n">
        <v>1.64</v>
      </c>
      <c r="AD76" t="n">
        <v>0</v>
      </c>
      <c r="AE76" t="n">
        <v>0</v>
      </c>
      <c r="AF76" t="n">
        <v>0.473</v>
      </c>
      <c r="AG76" t="n">
        <v>0.6</v>
      </c>
      <c r="AH76" t="n">
        <v>0</v>
      </c>
      <c r="AI76" t="n">
        <v>0.31</v>
      </c>
      <c r="AJ76" t="n">
        <v>4.3</v>
      </c>
      <c r="AK76" t="n">
        <v>4.34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Sources &amp; Notes</t>
        </is>
      </c>
    </row>
    <row r="2">
      <c r="A2" t="inlineStr"/>
    </row>
    <row r="3">
      <c r="A3" t="inlineStr">
        <is>
          <t>Nutrient requirements (DRI Values sheet):</t>
        </is>
      </c>
    </row>
    <row r="4">
      <c r="A4" t="inlineStr">
        <is>
          <t>National Academies of Sciences, Engineering, and Medicine (NASEM/IOM),</t>
        </is>
      </c>
    </row>
    <row r="5">
      <c r="A5" t="inlineStr">
        <is>
          <t>Dietary Reference Intakes Summary Tables -- NCBI Bookshelf NBK545442</t>
        </is>
      </c>
    </row>
    <row r="6">
      <c r="A6" t="inlineStr">
        <is>
          <t>(https://www.ncbi.nlm.nih.gov/books/NBK545442/). See app/data/dri_sources.md</t>
        </is>
      </c>
    </row>
    <row r="7">
      <c r="A7" t="inlineStr">
        <is>
          <t>in the project repository for the exact table citations used per nutrient.</t>
        </is>
      </c>
    </row>
    <row r="8">
      <c r="A8" t="inlineStr"/>
    </row>
    <row r="9">
      <c r="A9" t="inlineStr">
        <is>
          <t>Food nutrient values (Food Catalogue sheet):</t>
        </is>
      </c>
    </row>
    <row r="10">
      <c r="A10" t="inlineStr">
        <is>
          <t>USDA FoodData Central, SR Legacy. Every row includes its own fdc_id and</t>
        </is>
      </c>
    </row>
    <row r="11">
      <c r="A11" t="inlineStr">
        <is>
          <t>source_url pointing to the exact FDC record used -- values are fetched,</t>
        </is>
      </c>
    </row>
    <row r="12">
      <c r="A12" t="inlineStr">
        <is>
          <t>never estimated. Fetched via scripts/fetch_foods.py.</t>
        </is>
      </c>
    </row>
    <row r="13">
      <c r="A13" t="inlineStr"/>
    </row>
    <row r="14">
      <c r="A14" t="inlineStr">
        <is>
          <t>KNOWN DATA GAP -- Iodine and Biotin:</t>
        </is>
      </c>
    </row>
    <row r="15">
      <c r="A15" t="inlineStr">
        <is>
          <t>USDA FoodData Central (SR Legacy) does not measure iodine or biotin in</t>
        </is>
      </c>
    </row>
    <row r="16">
      <c r="A16" t="inlineStr">
        <is>
          <t>foods at all -- these columns will show "no data" for every food in the</t>
        </is>
      </c>
    </row>
    <row r="17">
      <c r="A17" t="inlineStr">
        <is>
          <t>catalogue. The DRI targets for both ARE included in the DRI Values sheet</t>
        </is>
      </c>
    </row>
    <row r="18">
      <c r="A18" t="inlineStr">
        <is>
          <t>(they do have official NASEM targets), but no combination of foods from</t>
        </is>
      </c>
    </row>
    <row r="19">
      <c r="A19" t="inlineStr">
        <is>
          <t>this catalogue can ever be checked against them, because the food-side</t>
        </is>
      </c>
    </row>
    <row r="20">
      <c r="A20" t="inlineStr">
        <is>
          <t>data doesn't exist. The web app excludes both from its solver's pass/fail</t>
        </is>
      </c>
    </row>
    <row r="21">
      <c r="A21" t="inlineStr">
        <is>
          <t>logic for this reason and shows them separately as "not tracked".</t>
        </is>
      </c>
    </row>
    <row r="22">
      <c r="A22" t="inlineStr"/>
    </row>
    <row r="23">
      <c r="A23" t="inlineStr">
        <is>
          <t>Several other nutrients (vitamin D, B12, choline, vitamin K, selenium)</t>
        </is>
      </c>
    </row>
    <row r="24">
      <c r="A24" t="inlineStr">
        <is>
          <t>have sparse -- not absent -- coverage in SR Legacy. A food missing one of</t>
        </is>
      </c>
    </row>
    <row r="25">
      <c r="A25" t="inlineStr">
        <is>
          <t>these shows "no data", which is NOT the same as a true zero amount.</t>
        </is>
      </c>
    </row>
    <row r="26">
      <c r="A26" t="inlineStr"/>
    </row>
    <row r="27">
      <c r="A27" t="inlineStr">
        <is>
          <t>This tool is for general planning purposes only and does not replace</t>
        </is>
      </c>
    </row>
    <row r="28">
      <c r="A28" t="inlineStr">
        <is>
          <t>advice from a registered dietitian or physician.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2026-09-10T02:08:00Z</dcterms:created>
  <dcterms:modified xmlns:dcterms="http://purl.org/dc/terms/" xmlns:xsi="http://www.w3.org/2001/XMLSchema-instance" xsi:type="dcterms:W3CDTF">2026-09-10T02:08:00Z</dcterms:modified>
</cp:coreProperties>
</file>